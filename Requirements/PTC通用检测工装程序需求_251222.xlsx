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hkj\Desktop\"/>
    </mc:Choice>
  </mc:AlternateContent>
  <xr:revisionPtr revIDLastSave="0" documentId="13_ncr:1_{C78C84A1-50E8-4BD5-B906-B09B51828DF8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PTC通用检测项目_202512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 s="1"/>
  <c r="K4" i="1"/>
  <c r="I6" i="1"/>
  <c r="I4" i="1"/>
  <c r="I7" i="1"/>
  <c r="K8" i="1" l="1"/>
  <c r="I5" i="1"/>
  <c r="I8" i="1" s="1"/>
  <c r="B11" i="1" l="1"/>
  <c r="B12" i="1" l="1"/>
  <c r="B14" i="1" s="1"/>
  <c r="B19" i="1" l="1"/>
  <c r="B20" i="1" l="1"/>
  <c r="B21" i="1" l="1"/>
  <c r="B26" i="1" s="1"/>
  <c r="B37" i="1" s="1"/>
  <c r="B38" i="1" s="1"/>
  <c r="B47" i="1" s="1"/>
  <c r="B54" i="1" l="1"/>
  <c r="B60" i="1" s="1"/>
  <c r="B66" i="1" l="1"/>
  <c r="B74" i="1" s="1"/>
</calcChain>
</file>

<file path=xl/sharedStrings.xml><?xml version="1.0" encoding="utf-8"?>
<sst xmlns="http://schemas.openxmlformats.org/spreadsheetml/2006/main" count="385" uniqueCount="227">
  <si>
    <t>PTC检测流程矩阵表</t>
    <phoneticPr fontId="2" type="noConversion"/>
  </si>
  <si>
    <t>CAN</t>
    <phoneticPr fontId="2" type="noConversion"/>
  </si>
  <si>
    <t>LIN</t>
    <phoneticPr fontId="2" type="noConversion"/>
  </si>
  <si>
    <t>PWM</t>
    <phoneticPr fontId="2" type="noConversion"/>
  </si>
  <si>
    <t>总时间</t>
    <phoneticPr fontId="2" type="noConversion"/>
  </si>
  <si>
    <t>总时间</t>
    <phoneticPr fontId="2" type="noConversion"/>
  </si>
  <si>
    <t>总时间</t>
    <phoneticPr fontId="2" type="noConversion"/>
  </si>
  <si>
    <t>总必测时间</t>
    <phoneticPr fontId="2" type="noConversion"/>
  </si>
  <si>
    <t>总必测时间</t>
    <phoneticPr fontId="2" type="noConversion"/>
  </si>
  <si>
    <t>低压必测时间</t>
    <phoneticPr fontId="2" type="noConversion"/>
  </si>
  <si>
    <t>高压必测时间</t>
    <phoneticPr fontId="2" type="noConversion"/>
  </si>
  <si>
    <t>序号</t>
    <phoneticPr fontId="2" type="noConversion"/>
  </si>
  <si>
    <t>选测时间</t>
    <phoneticPr fontId="2" type="noConversion"/>
  </si>
  <si>
    <t>项目</t>
    <phoneticPr fontId="2" type="noConversion"/>
  </si>
  <si>
    <t>检测目的</t>
    <phoneticPr fontId="2" type="noConversion"/>
  </si>
  <si>
    <t>检测方法</t>
    <phoneticPr fontId="2" type="noConversion"/>
  </si>
  <si>
    <t>检测步骤</t>
    <phoneticPr fontId="2" type="noConversion"/>
  </si>
  <si>
    <t>判断参数</t>
  </si>
  <si>
    <t>参数标准</t>
    <phoneticPr fontId="2" type="noConversion"/>
  </si>
  <si>
    <t>参数要求</t>
    <phoneticPr fontId="2" type="noConversion"/>
  </si>
  <si>
    <t>分类</t>
    <phoneticPr fontId="2" type="noConversion"/>
  </si>
  <si>
    <t>预估时长</t>
    <phoneticPr fontId="2" type="noConversion"/>
  </si>
  <si>
    <t>1、</t>
    <phoneticPr fontId="2" type="noConversion"/>
  </si>
  <si>
    <t>低压必测</t>
  </si>
  <si>
    <t>2、</t>
  </si>
  <si>
    <t>3、</t>
  </si>
  <si>
    <t>3S</t>
    <phoneticPr fontId="2" type="noConversion"/>
  </si>
  <si>
    <t>低压电流</t>
    <phoneticPr fontId="2" type="noConversion"/>
  </si>
  <si>
    <t>检测低压电路情况</t>
    <phoneticPr fontId="2" type="noConversion"/>
  </si>
  <si>
    <t>200±30mA</t>
    <phoneticPr fontId="2" type="noConversion"/>
  </si>
  <si>
    <t>检测通讯是否正常</t>
    <phoneticPr fontId="2" type="noConversion"/>
  </si>
  <si>
    <t>能收到报文</t>
    <phoneticPr fontId="2" type="noConversion"/>
  </si>
  <si>
    <t>2、</t>
    <phoneticPr fontId="2" type="noConversion"/>
  </si>
  <si>
    <t>检测通讯周期是否正常</t>
    <phoneticPr fontId="2" type="noConversion"/>
  </si>
  <si>
    <t>报文1周期符合要求</t>
    <phoneticPr fontId="2" type="noConversion"/>
  </si>
  <si>
    <t>100±3ms</t>
    <phoneticPr fontId="2" type="noConversion"/>
  </si>
  <si>
    <t>报文2周期符合要求</t>
    <phoneticPr fontId="2" type="noConversion"/>
  </si>
  <si>
    <t>50±5ms</t>
    <phoneticPr fontId="2" type="noConversion"/>
  </si>
  <si>
    <t>报文3周期符合要求</t>
    <phoneticPr fontId="2" type="noConversion"/>
  </si>
  <si>
    <t>500±15ms</t>
    <phoneticPr fontId="2" type="noConversion"/>
  </si>
  <si>
    <t>……</t>
    <phoneticPr fontId="2" type="noConversion"/>
  </si>
  <si>
    <t>3、</t>
    <phoneticPr fontId="2" type="noConversion"/>
  </si>
  <si>
    <t>4、</t>
    <phoneticPr fontId="2" type="noConversion"/>
  </si>
  <si>
    <t>诊断数据读取</t>
    <phoneticPr fontId="2" type="noConversion"/>
  </si>
  <si>
    <t>检测软件版本</t>
    <phoneticPr fontId="2" type="noConversion"/>
  </si>
  <si>
    <t>通过UDS读取软件版本</t>
  </si>
  <si>
    <t>软件版本符合设定值</t>
    <phoneticPr fontId="2" type="noConversion"/>
  </si>
  <si>
    <t>低压电压诊断</t>
    <phoneticPr fontId="2" type="noConversion"/>
  </si>
  <si>
    <t>检测低压电压诊断电路</t>
    <phoneticPr fontId="2" type="noConversion"/>
  </si>
  <si>
    <t>将低压电压调到预设值</t>
    <phoneticPr fontId="2" type="noConversion"/>
  </si>
  <si>
    <t>低压状态为正常</t>
    <phoneticPr fontId="2" type="noConversion"/>
  </si>
  <si>
    <t>5、</t>
  </si>
  <si>
    <t>传感器</t>
    <phoneticPr fontId="2" type="noConversion"/>
  </si>
  <si>
    <t>电阻模拟传感器，精度要求1%，温漂低于50ppm</t>
    <phoneticPr fontId="2" type="noConversion"/>
  </si>
  <si>
    <t>IGBT1温度符合设定值</t>
  </si>
  <si>
    <t>40±2℃</t>
    <phoneticPr fontId="2" type="noConversion"/>
  </si>
  <si>
    <t>低压选测</t>
  </si>
  <si>
    <t>检测PCB温度传感器电路</t>
    <phoneticPr fontId="2" type="noConversion"/>
  </si>
  <si>
    <t>PCB温度与检测工装内环境温度差值符合要求</t>
    <phoneticPr fontId="2" type="noConversion"/>
  </si>
  <si>
    <t>±2℃</t>
    <phoneticPr fontId="2" type="noConversion"/>
  </si>
  <si>
    <t>检测互锁电路</t>
    <phoneticPr fontId="2" type="noConversion"/>
  </si>
  <si>
    <t>将互锁信号断开</t>
    <phoneticPr fontId="2" type="noConversion"/>
  </si>
  <si>
    <t>互锁状态符合设定值</t>
    <phoneticPr fontId="2" type="noConversion"/>
  </si>
  <si>
    <t>断开</t>
    <phoneticPr fontId="2" type="noConversion"/>
  </si>
  <si>
    <t>将互锁信号接通</t>
    <phoneticPr fontId="2" type="noConversion"/>
  </si>
  <si>
    <t>接通</t>
    <phoneticPr fontId="2" type="noConversion"/>
  </si>
  <si>
    <t>高压必测</t>
  </si>
  <si>
    <t>高压电流监测</t>
    <phoneticPr fontId="2" type="noConversion"/>
  </si>
  <si>
    <t>通过UDS读取高压电压值</t>
    <phoneticPr fontId="2" type="noConversion"/>
  </si>
  <si>
    <t>电流采样精度：±(0.1%读数+0.1%量程)</t>
    <phoneticPr fontId="2" type="noConversion"/>
  </si>
  <si>
    <t>将高压电压设为额定电压</t>
    <phoneticPr fontId="2" type="noConversion"/>
  </si>
  <si>
    <t>电压校正操作</t>
    <phoneticPr fontId="2" type="noConversion"/>
  </si>
  <si>
    <t>通过UDS读取高压电流值</t>
    <phoneticPr fontId="2" type="noConversion"/>
  </si>
  <si>
    <t>6、</t>
    <phoneticPr fontId="2" type="noConversion"/>
  </si>
  <si>
    <t>电流校正操作</t>
    <phoneticPr fontId="2" type="noConversion"/>
  </si>
  <si>
    <t>校正确认</t>
    <phoneticPr fontId="2" type="noConversion"/>
  </si>
  <si>
    <t>设置高压电压为额定电压+20V</t>
    <phoneticPr fontId="2" type="noConversion"/>
  </si>
  <si>
    <t>高压电压值与功率计差值符合要求</t>
    <phoneticPr fontId="2" type="noConversion"/>
  </si>
  <si>
    <t>高压电流值与功率计差值符合要求</t>
    <phoneticPr fontId="2" type="noConversion"/>
  </si>
  <si>
    <t>±0.2A</t>
    <phoneticPr fontId="2" type="noConversion"/>
  </si>
  <si>
    <t>通过UDS读取高压功率值</t>
    <phoneticPr fontId="2" type="noConversion"/>
  </si>
  <si>
    <t>高压功率值与功率计差值符合要求</t>
    <phoneticPr fontId="2" type="noConversion"/>
  </si>
  <si>
    <t>±100W</t>
    <phoneticPr fontId="2" type="noConversion"/>
  </si>
  <si>
    <t>结束</t>
    <phoneticPr fontId="2" type="noConversion"/>
  </si>
  <si>
    <t>高压电源迅速放电
（若电源支持，则直接设定电源电压即可）</t>
    <phoneticPr fontId="2" type="noConversion"/>
  </si>
  <si>
    <t>高压电源电压设为0</t>
    <phoneticPr fontId="2" type="noConversion"/>
  </si>
  <si>
    <t>例程控制</t>
    <phoneticPr fontId="2" type="noConversion"/>
  </si>
  <si>
    <t>备注</t>
    <phoneticPr fontId="2" type="noConversion"/>
  </si>
  <si>
    <t>注意：参数标准栏中参数均需设置为可配置项</t>
    <phoneticPr fontId="2" type="noConversion"/>
  </si>
  <si>
    <t>诊断标志位写入</t>
    <phoneticPr fontId="2" type="noConversion"/>
  </si>
  <si>
    <t>CAN/LIN通讯</t>
    <phoneticPr fontId="2" type="noConversion"/>
  </si>
  <si>
    <t>检测CAN/LIN通讯电路</t>
    <phoneticPr fontId="2" type="noConversion"/>
  </si>
  <si>
    <t>CAN2.0B/LIN 2.1</t>
    <phoneticPr fontId="2" type="noConversion"/>
  </si>
  <si>
    <t>写入程序有效标志位</t>
    <phoneticPr fontId="2" type="noConversion"/>
  </si>
  <si>
    <t>通过UDS$2E服务写入程序有效标志位</t>
    <phoneticPr fontId="2" type="noConversion"/>
  </si>
  <si>
    <t>一定时间内接收到正响应回复</t>
    <phoneticPr fontId="2" type="noConversion"/>
  </si>
  <si>
    <t>10S</t>
    <phoneticPr fontId="2" type="noConversion"/>
  </si>
  <si>
    <t>规定时间内未接收到直接判断不合格，该项不合格直接判断产品不合格，停止检测</t>
    <phoneticPr fontId="2" type="noConversion"/>
  </si>
  <si>
    <t>断开低压电源，延迟一定时间后重新上电</t>
    <phoneticPr fontId="2" type="noConversion"/>
  </si>
  <si>
    <t>1S</t>
    <phoneticPr fontId="2" type="noConversion"/>
  </si>
  <si>
    <t>DxPx</t>
    <phoneticPr fontId="2" type="noConversion"/>
  </si>
  <si>
    <t>检测项目信息</t>
    <phoneticPr fontId="2" type="noConversion"/>
  </si>
  <si>
    <t>通过UDS读取项目信息</t>
    <phoneticPr fontId="2" type="noConversion"/>
  </si>
  <si>
    <t>项目信息符合设定值</t>
    <phoneticPr fontId="2" type="noConversion"/>
  </si>
  <si>
    <t>xxxx</t>
    <phoneticPr fontId="2" type="noConversion"/>
  </si>
  <si>
    <t>$2E DID：0001</t>
    <phoneticPr fontId="2" type="noConversion"/>
  </si>
  <si>
    <t>$22 DID：F170</t>
    <phoneticPr fontId="2" type="noConversion"/>
  </si>
  <si>
    <t>$22 DID：F189</t>
    <phoneticPr fontId="2" type="noConversion"/>
  </si>
  <si>
    <t>该项不合格直接判断产品不合格，停止检测</t>
    <phoneticPr fontId="2" type="noConversion"/>
  </si>
  <si>
    <t>12V/24V</t>
    <phoneticPr fontId="2" type="noConversion"/>
  </si>
  <si>
    <t>将低压电调到12V/24V</t>
    <phoneticPr fontId="2" type="noConversion"/>
  </si>
  <si>
    <t>电压12V/24V根据不同项目调整，该项不合格直接判断产品不合格，停止检测</t>
    <phoneticPr fontId="2" type="noConversion"/>
  </si>
  <si>
    <t>低压电压调到过压值</t>
    <phoneticPr fontId="2" type="noConversion"/>
  </si>
  <si>
    <t>低压电压调到过压恢复值</t>
    <phoneticPr fontId="2" type="noConversion"/>
  </si>
  <si>
    <t>低压电压调到欠压值</t>
    <phoneticPr fontId="2" type="noConversion"/>
  </si>
  <si>
    <t>低压电压调到欠压恢复值</t>
    <phoneticPr fontId="2" type="noConversion"/>
  </si>
  <si>
    <t>17V</t>
    <phoneticPr fontId="2" type="noConversion"/>
  </si>
  <si>
    <t>低压过压状态故障位置位</t>
    <phoneticPr fontId="2" type="noConversion"/>
  </si>
  <si>
    <t>低压过压状态故障位清零</t>
    <phoneticPr fontId="2" type="noConversion"/>
  </si>
  <si>
    <t>低压欠压状态故障位置位</t>
    <phoneticPr fontId="2" type="noConversion"/>
  </si>
  <si>
    <t>低压欠压状态故障位清零</t>
    <phoneticPr fontId="2" type="noConversion"/>
  </si>
  <si>
    <t>检测IGBT传感器电路</t>
    <phoneticPr fontId="2" type="noConversion"/>
  </si>
  <si>
    <t xml:space="preserve">通过CAN/LIN读取IGBT1温度 </t>
    <phoneticPr fontId="2" type="noConversion"/>
  </si>
  <si>
    <t xml:space="preserve">通过CAN/LIN读取IGBT2温度 </t>
    <phoneticPr fontId="2" type="noConversion"/>
  </si>
  <si>
    <t>IGBT2温度符合设定值</t>
    <phoneticPr fontId="2" type="noConversion"/>
  </si>
  <si>
    <t>无温度上报的项目，该项需要读取传感器故障位，故障未置位</t>
    <phoneticPr fontId="2" type="noConversion"/>
  </si>
  <si>
    <t>检测PTC传感器电路</t>
    <phoneticPr fontId="2" type="noConversion"/>
  </si>
  <si>
    <t xml:space="preserve">通过CAN/LIN读取PTC1温度 </t>
    <phoneticPr fontId="2" type="noConversion"/>
  </si>
  <si>
    <t xml:space="preserve">通过CAN/LIN读取PTC2温度 </t>
    <phoneticPr fontId="2" type="noConversion"/>
  </si>
  <si>
    <t xml:space="preserve">通过CAN/LIN读取PCB温度 </t>
    <phoneticPr fontId="2" type="noConversion"/>
  </si>
  <si>
    <t>通过CAN/LIN读取互锁状态</t>
    <phoneticPr fontId="2" type="noConversion"/>
  </si>
  <si>
    <t>校准模式</t>
    <phoneticPr fontId="2" type="noConversion"/>
  </si>
  <si>
    <t>进入校准模式</t>
    <phoneticPr fontId="2" type="noConversion"/>
  </si>
  <si>
    <t>将高压电压设为60V</t>
    <phoneticPr fontId="2" type="noConversion"/>
  </si>
  <si>
    <t>监测功率计电流小于设定值</t>
    <phoneticPr fontId="2" type="noConversion"/>
  </si>
  <si>
    <t>监测功率计电压等于设定值</t>
    <phoneticPr fontId="2" type="noConversion"/>
  </si>
  <si>
    <t>60V±5V</t>
    <phoneticPr fontId="2" type="noConversion"/>
  </si>
  <si>
    <t>300V±10V</t>
    <phoneticPr fontId="2" type="noConversion"/>
  </si>
  <si>
    <t>通过UDS读取高压电压AD值</t>
    <phoneticPr fontId="2" type="noConversion"/>
  </si>
  <si>
    <t>600V±10V</t>
    <phoneticPr fontId="2" type="noConversion"/>
  </si>
  <si>
    <t>保存AD_HV1</t>
    <phoneticPr fontId="2" type="noConversion"/>
  </si>
  <si>
    <t>保存AD_HV2</t>
    <phoneticPr fontId="2" type="noConversion"/>
  </si>
  <si>
    <t>Scop=(HV2-HV1)/(AD_HV2-AD_HV1)，通过UDS将Scop写入EEPROM</t>
    <phoneticPr fontId="2" type="noConversion"/>
  </si>
  <si>
    <t>一定时间内接收到正响应</t>
    <phoneticPr fontId="2" type="noConversion"/>
  </si>
  <si>
    <t>2S</t>
    <phoneticPr fontId="2" type="noConversion"/>
  </si>
  <si>
    <t>响应超时或接收到负响应均判断校准失败</t>
    <phoneticPr fontId="2" type="noConversion"/>
  </si>
  <si>
    <t>高压电压校准</t>
    <phoneticPr fontId="2" type="noConversion"/>
  </si>
  <si>
    <t>检查高压电压电路
检查IGBT
校准高压电压</t>
    <phoneticPr fontId="2" type="noConversion"/>
  </si>
  <si>
    <t>高压电流校准</t>
    <phoneticPr fontId="2" type="noConversion"/>
  </si>
  <si>
    <t>33V</t>
    <phoneticPr fontId="2" type="noConversion"/>
  </si>
  <si>
    <t>32V</t>
    <phoneticPr fontId="2" type="noConversion"/>
  </si>
  <si>
    <t>18V</t>
    <phoneticPr fontId="2" type="noConversion"/>
  </si>
  <si>
    <t>检查高压电流电路
检查IGBT
校准高压电流</t>
    <phoneticPr fontId="2" type="noConversion"/>
  </si>
  <si>
    <t>通过UDS设置占空比为50%，延时一定时间</t>
    <phoneticPr fontId="2" type="noConversion"/>
  </si>
  <si>
    <t>8、</t>
    <phoneticPr fontId="2" type="noConversion"/>
  </si>
  <si>
    <t>监测功率计电流大于设定值</t>
    <phoneticPr fontId="2" type="noConversion"/>
  </si>
  <si>
    <t>60S/2S</t>
    <phoneticPr fontId="2" type="noConversion"/>
  </si>
  <si>
    <t>保存功率计读取到的电压值HV1，建议连续读取求均值</t>
    <phoneticPr fontId="2" type="noConversion"/>
  </si>
  <si>
    <t>保存功率计读取到的电压值HV2，建议连续读取求均值</t>
    <phoneticPr fontId="2" type="noConversion"/>
  </si>
  <si>
    <t>保存AD_HI1</t>
    <phoneticPr fontId="2" type="noConversion"/>
  </si>
  <si>
    <t>保存AD_HI2</t>
    <phoneticPr fontId="2" type="noConversion"/>
  </si>
  <si>
    <t>通过UDS读取高压电流AD值</t>
    <phoneticPr fontId="2" type="noConversion"/>
  </si>
  <si>
    <t>一定时间内获取到高压电压AD值</t>
    <phoneticPr fontId="2" type="noConversion"/>
  </si>
  <si>
    <t>一定时间内获取到高压电流AD值</t>
    <phoneticPr fontId="2" type="noConversion"/>
  </si>
  <si>
    <t>通过UDS设置占空比为100%，延时一定时间</t>
    <phoneticPr fontId="2" type="noConversion"/>
  </si>
  <si>
    <t>2A±0.5A</t>
    <phoneticPr fontId="2" type="noConversion"/>
  </si>
  <si>
    <t>100mA±5mA</t>
    <phoneticPr fontId="2" type="noConversion"/>
  </si>
  <si>
    <t>200mA±5mA</t>
    <phoneticPr fontId="2" type="noConversion"/>
  </si>
  <si>
    <t>5±0.5A</t>
    <phoneticPr fontId="2" type="noConversion"/>
  </si>
  <si>
    <t>保存功率计读取到的电流值HI2，连续读取求均值</t>
    <phoneticPr fontId="2" type="noConversion"/>
  </si>
  <si>
    <t>保存功率计读取到的电流值HI1，连续读取求均值</t>
    <phoneticPr fontId="2" type="noConversion"/>
  </si>
  <si>
    <t>Scop=(HI2-HI1)/(AD_HI2-AD_HI1)，通过UDS将Scop写入EEPROM</t>
    <phoneticPr fontId="2" type="noConversion"/>
  </si>
  <si>
    <t>高压必测</t>
    <phoneticPr fontId="2" type="noConversion"/>
  </si>
  <si>
    <t>将高压电压设为1/2额定电压</t>
    <phoneticPr fontId="2" type="noConversion"/>
  </si>
  <si>
    <t>620V±10V</t>
    <phoneticPr fontId="2" type="noConversion"/>
  </si>
  <si>
    <t>30S/2S</t>
    <phoneticPr fontId="2" type="noConversion"/>
  </si>
  <si>
    <t>通过UDS设置占空比为90%，延时一定时间</t>
    <phoneticPr fontId="2" type="noConversion"/>
  </si>
  <si>
    <t>周期读取直至符合，最大延迟60S，否则直接退出校准</t>
    <phoneticPr fontId="2" type="noConversion"/>
  </si>
  <si>
    <t>±10V</t>
    <phoneticPr fontId="2" type="noConversion"/>
  </si>
  <si>
    <t>功率控制</t>
    <phoneticPr fontId="2" type="noConversion"/>
  </si>
  <si>
    <t>检测IGBT控制电路</t>
    <phoneticPr fontId="2" type="noConversion"/>
  </si>
  <si>
    <t>退出校准模式</t>
    <phoneticPr fontId="2" type="noConversion"/>
  </si>
  <si>
    <t>高压电压诊断</t>
    <phoneticPr fontId="2" type="noConversion"/>
  </si>
  <si>
    <t>检测高压电压诊断电路</t>
    <phoneticPr fontId="2" type="noConversion"/>
  </si>
  <si>
    <t>高压电压调到过压值</t>
    <phoneticPr fontId="2" type="noConversion"/>
  </si>
  <si>
    <t>高压电压调到过压恢复值</t>
    <phoneticPr fontId="2" type="noConversion"/>
  </si>
  <si>
    <t>高压电压调到欠压值</t>
    <phoneticPr fontId="2" type="noConversion"/>
  </si>
  <si>
    <t>高压电压调到欠压恢复值</t>
    <phoneticPr fontId="2" type="noConversion"/>
  </si>
  <si>
    <t>注意限流值，设置为可配置项</t>
    <phoneticPr fontId="2" type="noConversion"/>
  </si>
  <si>
    <t>2KW</t>
    <phoneticPr fontId="2" type="noConversion"/>
  </si>
  <si>
    <t>延时一定时间，等待PID调节稳定</t>
    <phoneticPr fontId="2" type="noConversion"/>
  </si>
  <si>
    <t>40S</t>
    <phoneticPr fontId="2" type="noConversion"/>
  </si>
  <si>
    <t>功率计功率监测</t>
    <phoneticPr fontId="2" type="noConversion"/>
  </si>
  <si>
    <t>功率计功率值与请求值差值符合要求</t>
    <phoneticPr fontId="2" type="noConversion"/>
  </si>
  <si>
    <t>±3%</t>
    <phoneticPr fontId="2" type="noConversion"/>
  </si>
  <si>
    <t>±5%</t>
    <phoneticPr fontId="2" type="noConversion"/>
  </si>
  <si>
    <t>通过CAN/LIN请求功率1，并使能制热</t>
    <phoneticPr fontId="2" type="noConversion"/>
  </si>
  <si>
    <t>通过CAN/LIN请求功率2，并使能制热</t>
    <phoneticPr fontId="2" type="noConversion"/>
  </si>
  <si>
    <t>6KW</t>
    <phoneticPr fontId="2" type="noConversion"/>
  </si>
  <si>
    <t>50S</t>
    <phoneticPr fontId="2" type="noConversion"/>
  </si>
  <si>
    <t>连续读取求均值</t>
    <phoneticPr fontId="2" type="noConversion"/>
  </si>
  <si>
    <t>等待一定时间后判断高压欠压故障位</t>
    <phoneticPr fontId="2" type="noConversion"/>
  </si>
  <si>
    <t>380V±5V</t>
    <phoneticPr fontId="2" type="noConversion"/>
  </si>
  <si>
    <t>周期读取直至符合，最大延迟60S，否则直接退出</t>
    <phoneticPr fontId="2" type="noConversion"/>
  </si>
  <si>
    <t>高压欠压状态故障位置位</t>
    <phoneticPr fontId="2" type="noConversion"/>
  </si>
  <si>
    <t>高压欠压状态故障位清零</t>
    <phoneticPr fontId="2" type="noConversion"/>
  </si>
  <si>
    <t>400V±5V</t>
    <phoneticPr fontId="2" type="noConversion"/>
  </si>
  <si>
    <t>故障位置位</t>
    <phoneticPr fontId="2" type="noConversion"/>
  </si>
  <si>
    <t>故障位清零</t>
    <phoneticPr fontId="2" type="noConversion"/>
  </si>
  <si>
    <t>7、</t>
    <phoneticPr fontId="2" type="noConversion"/>
  </si>
  <si>
    <t>9、</t>
    <phoneticPr fontId="2" type="noConversion"/>
  </si>
  <si>
    <t>等待一定时间后判断高压过压故障位</t>
    <phoneticPr fontId="2" type="noConversion"/>
  </si>
  <si>
    <t>900V±5V</t>
    <phoneticPr fontId="2" type="noConversion"/>
  </si>
  <si>
    <t>880V±5V</t>
    <phoneticPr fontId="2" type="noConversion"/>
  </si>
  <si>
    <t>通过UDS$31服务设置占空比为20%</t>
    <phoneticPr fontId="2" type="noConversion"/>
  </si>
  <si>
    <t>高压放电至功率计高压电压小于要求值</t>
    <phoneticPr fontId="2" type="noConversion"/>
  </si>
  <si>
    <t>保持上一步中加热请求不变，</t>
    <phoneticPr fontId="2" type="noConversion"/>
  </si>
  <si>
    <t>检测功率计高压电压跌落一定值</t>
    <phoneticPr fontId="2" type="noConversion"/>
  </si>
  <si>
    <t>30V±5V</t>
    <phoneticPr fontId="2" type="noConversion"/>
  </si>
  <si>
    <t>周期读取直至符合，最大延迟60S，否则直接关闭高压电源</t>
    <phoneticPr fontId="2" type="noConversion"/>
  </si>
  <si>
    <t>检测完成，断开高压电和低压电</t>
    <phoneticPr fontId="2" type="noConversion"/>
  </si>
  <si>
    <t>检测完成</t>
    <phoneticPr fontId="2" type="noConversion"/>
  </si>
  <si>
    <t>根据检测结果控制警报，保留检测结果</t>
    <phoneticPr fontId="2" type="noConversion"/>
  </si>
  <si>
    <t>该过程中上位增加弹窗，提示检测人员进行手动放电【二者同步进行，确保放电成功】</t>
    <phoneticPr fontId="2" type="noConversion"/>
  </si>
  <si>
    <t>增加检测完成弹窗，提示检测人员抬起工装设备</t>
    <phoneticPr fontId="2" type="noConversion"/>
  </si>
  <si>
    <t>延时1S，低压电流小于要求值</t>
    <phoneticPr fontId="2" type="noConversion"/>
  </si>
  <si>
    <t>小于要求值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</si>
</sst>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2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" borderId="0" xfId="0" applyFont="1" applyFill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/>
    </xf>
    <xf numFmtId="0" fontId="4" fillId="2" borderId="0" xfId="0" applyFont="1" applyFill="1" applyAlignment="1">
      <alignment vertical="top"/>
    </xf>
    <xf numFmtId="0" fontId="0" fillId="0" borderId="1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2" borderId="8" xfId="0" applyFont="1" applyFill="1" applyBorder="1" applyAlignment="1">
      <alignment vertical="top"/>
    </xf>
    <xf numFmtId="0" fontId="4" fillId="2" borderId="8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top"/>
    </xf>
    <xf numFmtId="0" fontId="4" fillId="4" borderId="8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vertical="top"/>
    </xf>
    <xf numFmtId="0" fontId="4" fillId="4" borderId="8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right"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2" borderId="12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13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top"/>
    </xf>
    <xf numFmtId="0" fontId="4" fillId="2" borderId="1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top"/>
    </xf>
    <xf numFmtId="0" fontId="4" fillId="5" borderId="14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4" fillId="2" borderId="3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4" fillId="4" borderId="13" xfId="0" applyFont="1" applyFill="1" applyBorder="1" applyAlignment="1">
      <alignment horizontal="center" vertical="top"/>
    </xf>
    <xf numFmtId="0" fontId="4" fillId="4" borderId="14" xfId="0" applyFont="1" applyFill="1" applyBorder="1" applyAlignment="1">
      <alignment horizontal="center" vertical="top"/>
    </xf>
    <xf numFmtId="0" fontId="4" fillId="4" borderId="15" xfId="0" applyFont="1" applyFill="1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4" fillId="2" borderId="13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/>
    </xf>
    <xf numFmtId="0" fontId="4" fillId="6" borderId="13" xfId="0" applyFont="1" applyFill="1" applyBorder="1" applyAlignment="1">
      <alignment horizontal="center" vertical="top"/>
    </xf>
    <xf numFmtId="0" fontId="4" fillId="6" borderId="14" xfId="0" applyFont="1" applyFill="1" applyBorder="1" applyAlignment="1">
      <alignment horizontal="center" vertical="top"/>
    </xf>
    <xf numFmtId="0" fontId="4" fillId="6" borderId="15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</cellXfs>
  <cellStyles count="1">
    <cellStyle name="常规" xfId="0" builtinId="0"/>
  </cellStyles>
  <dxfs count="31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 tint="-0.2499465926084170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theme="1"/>
        </patternFill>
      </fill>
    </dxf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6"/>
  <sheetViews>
    <sheetView tabSelected="1" zoomScale="80" zoomScaleNormal="80" workbookViewId="0">
      <selection activeCell="F21" sqref="F21"/>
    </sheetView>
  </sheetViews>
  <sheetFormatPr defaultColWidth="9" defaultRowHeight="17.399999999999999" x14ac:dyDescent="0.25"/>
  <cols>
    <col min="1" max="1" width="9" style="1"/>
    <col min="2" max="2" width="5.21875" style="11" bestFit="1" customWidth="1"/>
    <col min="3" max="3" width="18.21875" style="11" bestFit="1" customWidth="1"/>
    <col min="4" max="4" width="25.21875" style="25" bestFit="1" customWidth="1"/>
    <col min="5" max="5" width="6.5546875" style="26" customWidth="1"/>
    <col min="6" max="6" width="45" style="11" customWidth="1"/>
    <col min="7" max="7" width="50" style="11" bestFit="1" customWidth="1"/>
    <col min="8" max="8" width="15.33203125" style="25" customWidth="1"/>
    <col min="9" max="9" width="17" style="25" customWidth="1"/>
    <col min="10" max="10" width="17.5546875" style="25" customWidth="1"/>
    <col min="11" max="11" width="23.77734375" style="25" customWidth="1"/>
    <col min="12" max="12" width="14" style="11" customWidth="1"/>
    <col min="13" max="13" width="15.33203125" style="11" customWidth="1"/>
    <col min="14" max="14" width="83.6640625" style="1" customWidth="1"/>
    <col min="15" max="16384" width="9" style="1"/>
  </cols>
  <sheetData>
    <row r="2" spans="2:14" ht="25.5" customHeight="1" x14ac:dyDescent="0.25">
      <c r="B2" s="54" t="s">
        <v>0</v>
      </c>
      <c r="C2" s="55"/>
      <c r="D2" s="55"/>
      <c r="E2" s="55"/>
      <c r="F2" s="55"/>
      <c r="G2" s="56"/>
      <c r="H2" s="49" t="s">
        <v>88</v>
      </c>
      <c r="I2" s="50"/>
      <c r="J2" s="50"/>
      <c r="K2" s="50"/>
      <c r="L2" s="50"/>
      <c r="M2" s="51"/>
    </row>
    <row r="3" spans="2:14" ht="18.75" customHeight="1" x14ac:dyDescent="0.25">
      <c r="B3" s="57"/>
      <c r="C3" s="58"/>
      <c r="D3" s="58"/>
      <c r="E3" s="58"/>
      <c r="F3" s="58"/>
      <c r="G3" s="59"/>
      <c r="H3" s="63" t="s">
        <v>1</v>
      </c>
      <c r="I3" s="64"/>
      <c r="J3" s="65" t="s">
        <v>2</v>
      </c>
      <c r="K3" s="66"/>
      <c r="L3" s="63" t="s">
        <v>3</v>
      </c>
      <c r="M3" s="64"/>
    </row>
    <row r="4" spans="2:14" ht="20.25" customHeight="1" x14ac:dyDescent="0.25">
      <c r="B4" s="57"/>
      <c r="C4" s="58"/>
      <c r="D4" s="58"/>
      <c r="E4" s="58"/>
      <c r="F4" s="58"/>
      <c r="G4" s="59"/>
      <c r="H4" s="2" t="s">
        <v>4</v>
      </c>
      <c r="I4" s="3">
        <f>SUM($M$11:$M$627)</f>
        <v>337</v>
      </c>
      <c r="J4" s="4" t="s">
        <v>5</v>
      </c>
      <c r="K4" s="5">
        <f>SUM($M$11:$M$627)</f>
        <v>337</v>
      </c>
      <c r="L4" s="2" t="s">
        <v>6</v>
      </c>
      <c r="M4" s="3"/>
    </row>
    <row r="5" spans="2:14" ht="20.25" customHeight="1" x14ac:dyDescent="0.25">
      <c r="B5" s="57"/>
      <c r="C5" s="58"/>
      <c r="D5" s="58"/>
      <c r="E5" s="58"/>
      <c r="F5" s="58"/>
      <c r="G5" s="59"/>
      <c r="H5" s="6" t="s">
        <v>7</v>
      </c>
      <c r="I5" s="3">
        <f>I6+I7</f>
        <v>334</v>
      </c>
      <c r="J5" s="7" t="s">
        <v>7</v>
      </c>
      <c r="K5" s="5">
        <f>K6+K7</f>
        <v>334</v>
      </c>
      <c r="L5" s="6" t="s">
        <v>8</v>
      </c>
      <c r="M5" s="6"/>
    </row>
    <row r="6" spans="2:14" ht="20.25" customHeight="1" x14ac:dyDescent="0.25">
      <c r="B6" s="57"/>
      <c r="C6" s="58"/>
      <c r="D6" s="58"/>
      <c r="E6" s="58"/>
      <c r="F6" s="58"/>
      <c r="G6" s="59"/>
      <c r="H6" s="2" t="s">
        <v>9</v>
      </c>
      <c r="I6" s="3">
        <f>SUMIFS($M$11:$M$627,$L$11:$L$627,"低压必测")</f>
        <v>20</v>
      </c>
      <c r="J6" s="4" t="s">
        <v>9</v>
      </c>
      <c r="K6" s="5">
        <f>SUMIFS($M$11:$M$627,$L$11:$L$627,"低压必测")</f>
        <v>20</v>
      </c>
      <c r="L6" s="2" t="s">
        <v>9</v>
      </c>
      <c r="M6" s="2"/>
    </row>
    <row r="7" spans="2:14" ht="20.25" customHeight="1" x14ac:dyDescent="0.25">
      <c r="B7" s="60"/>
      <c r="C7" s="61"/>
      <c r="D7" s="61"/>
      <c r="E7" s="61"/>
      <c r="F7" s="61"/>
      <c r="G7" s="62"/>
      <c r="H7" s="2" t="s">
        <v>10</v>
      </c>
      <c r="I7" s="3">
        <f>SUMIFS($M$11:$M$627,$L$11:$L$627,"高压必测")</f>
        <v>314</v>
      </c>
      <c r="J7" s="4" t="s">
        <v>10</v>
      </c>
      <c r="K7" s="5">
        <f>SUMIFS($M$11:$M$627,$L$11:$L$627,"高压必测")</f>
        <v>314</v>
      </c>
      <c r="L7" s="2" t="s">
        <v>10</v>
      </c>
      <c r="M7" s="3"/>
    </row>
    <row r="8" spans="2:14" x14ac:dyDescent="0.25">
      <c r="B8" s="67" t="s">
        <v>11</v>
      </c>
      <c r="C8" s="9"/>
      <c r="D8" s="9"/>
      <c r="E8" s="9"/>
      <c r="F8" s="9"/>
      <c r="G8" s="9"/>
      <c r="H8" s="2" t="s">
        <v>12</v>
      </c>
      <c r="I8" s="3">
        <f>I4-I5</f>
        <v>3</v>
      </c>
      <c r="J8" s="4" t="s">
        <v>12</v>
      </c>
      <c r="K8" s="5">
        <f>K4-K5</f>
        <v>3</v>
      </c>
      <c r="L8" s="2" t="s">
        <v>12</v>
      </c>
      <c r="M8" s="3"/>
    </row>
    <row r="9" spans="2:14" x14ac:dyDescent="0.25">
      <c r="B9" s="67"/>
      <c r="C9" s="67" t="s">
        <v>13</v>
      </c>
      <c r="D9" s="67" t="s">
        <v>14</v>
      </c>
      <c r="E9" s="68" t="s">
        <v>15</v>
      </c>
      <c r="F9" s="69"/>
      <c r="G9" s="69"/>
      <c r="H9" s="70"/>
      <c r="I9" s="68"/>
      <c r="J9" s="69"/>
      <c r="K9" s="69"/>
      <c r="L9" s="69"/>
      <c r="M9" s="69"/>
    </row>
    <row r="10" spans="2:14" s="11" customFormat="1" x14ac:dyDescent="0.25">
      <c r="B10" s="67"/>
      <c r="C10" s="67"/>
      <c r="D10" s="67"/>
      <c r="E10" s="68" t="s">
        <v>16</v>
      </c>
      <c r="F10" s="70"/>
      <c r="G10" s="10" t="s">
        <v>17</v>
      </c>
      <c r="H10" s="8" t="s">
        <v>18</v>
      </c>
      <c r="I10" s="68" t="s">
        <v>19</v>
      </c>
      <c r="J10" s="69"/>
      <c r="K10" s="70"/>
      <c r="L10" s="8" t="s">
        <v>20</v>
      </c>
      <c r="M10" s="8" t="s">
        <v>21</v>
      </c>
      <c r="N10" s="8" t="s">
        <v>87</v>
      </c>
    </row>
    <row r="11" spans="2:14" s="18" customFormat="1" x14ac:dyDescent="0.25">
      <c r="B11" s="12">
        <f>COUNTA($B$10:B10)+1</f>
        <v>1</v>
      </c>
      <c r="C11" s="21" t="s">
        <v>27</v>
      </c>
      <c r="D11" s="15" t="s">
        <v>28</v>
      </c>
      <c r="E11" s="13" t="s">
        <v>22</v>
      </c>
      <c r="F11" s="14" t="s">
        <v>110</v>
      </c>
      <c r="G11" s="15" t="s">
        <v>225</v>
      </c>
      <c r="H11" s="15" t="s">
        <v>29</v>
      </c>
      <c r="I11" s="35" t="s">
        <v>226</v>
      </c>
      <c r="J11" s="36"/>
      <c r="K11" s="37"/>
      <c r="L11" s="22" t="s">
        <v>23</v>
      </c>
      <c r="M11" s="22">
        <v>1</v>
      </c>
      <c r="N11" s="33" t="s">
        <v>111</v>
      </c>
    </row>
    <row r="12" spans="2:14" s="18" customFormat="1" x14ac:dyDescent="0.25">
      <c r="B12" s="71">
        <f>COUNTA($B11:B$11)+1</f>
        <v>2</v>
      </c>
      <c r="C12" s="73" t="s">
        <v>89</v>
      </c>
      <c r="D12" s="73" t="s">
        <v>93</v>
      </c>
      <c r="E12" s="13" t="s">
        <v>22</v>
      </c>
      <c r="F12" s="14" t="s">
        <v>94</v>
      </c>
      <c r="G12" s="14" t="s">
        <v>95</v>
      </c>
      <c r="H12" s="15" t="s">
        <v>96</v>
      </c>
      <c r="I12" s="35" t="s">
        <v>105</v>
      </c>
      <c r="J12" s="36"/>
      <c r="K12" s="37"/>
      <c r="L12" s="52" t="s">
        <v>23</v>
      </c>
      <c r="M12" s="52">
        <v>5</v>
      </c>
      <c r="N12" s="40" t="s">
        <v>97</v>
      </c>
    </row>
    <row r="13" spans="2:14" s="18" customFormat="1" x14ac:dyDescent="0.25">
      <c r="B13" s="72"/>
      <c r="C13" s="74"/>
      <c r="D13" s="74"/>
      <c r="E13" s="13" t="s">
        <v>32</v>
      </c>
      <c r="F13" s="32" t="s">
        <v>98</v>
      </c>
      <c r="G13" s="14"/>
      <c r="H13" s="15" t="s">
        <v>99</v>
      </c>
      <c r="I13" s="35"/>
      <c r="J13" s="36"/>
      <c r="K13" s="37"/>
      <c r="L13" s="53"/>
      <c r="M13" s="53"/>
      <c r="N13" s="41"/>
    </row>
    <row r="14" spans="2:14" s="18" customFormat="1" x14ac:dyDescent="0.25">
      <c r="B14" s="71">
        <f>COUNTA($B$11:B13)+1</f>
        <v>3</v>
      </c>
      <c r="C14" s="73" t="s">
        <v>90</v>
      </c>
      <c r="D14" s="73" t="s">
        <v>91</v>
      </c>
      <c r="E14" s="13" t="s">
        <v>22</v>
      </c>
      <c r="F14" s="14" t="s">
        <v>30</v>
      </c>
      <c r="G14" s="14" t="s">
        <v>31</v>
      </c>
      <c r="H14" s="15"/>
      <c r="I14" s="35" t="s">
        <v>92</v>
      </c>
      <c r="J14" s="36"/>
      <c r="K14" s="37"/>
      <c r="L14" s="52" t="s">
        <v>23</v>
      </c>
      <c r="M14" s="52">
        <v>2</v>
      </c>
      <c r="N14" s="40"/>
    </row>
    <row r="15" spans="2:14" s="18" customFormat="1" x14ac:dyDescent="0.25">
      <c r="B15" s="72"/>
      <c r="C15" s="74"/>
      <c r="D15" s="74"/>
      <c r="E15" s="75" t="s">
        <v>32</v>
      </c>
      <c r="F15" s="78" t="s">
        <v>33</v>
      </c>
      <c r="G15" s="14" t="s">
        <v>34</v>
      </c>
      <c r="H15" s="15" t="s">
        <v>35</v>
      </c>
      <c r="I15" s="35"/>
      <c r="J15" s="36"/>
      <c r="K15" s="37"/>
      <c r="L15" s="53"/>
      <c r="M15" s="53"/>
      <c r="N15" s="42"/>
    </row>
    <row r="16" spans="2:14" s="18" customFormat="1" x14ac:dyDescent="0.25">
      <c r="B16" s="72"/>
      <c r="C16" s="74"/>
      <c r="D16" s="74"/>
      <c r="E16" s="76"/>
      <c r="F16" s="79"/>
      <c r="G16" s="14" t="s">
        <v>36</v>
      </c>
      <c r="H16" s="15" t="s">
        <v>37</v>
      </c>
      <c r="I16" s="35"/>
      <c r="J16" s="36"/>
      <c r="K16" s="37"/>
      <c r="L16" s="53"/>
      <c r="M16" s="53"/>
      <c r="N16" s="42"/>
    </row>
    <row r="17" spans="2:14" s="18" customFormat="1" x14ac:dyDescent="0.25">
      <c r="B17" s="72"/>
      <c r="C17" s="74"/>
      <c r="D17" s="74"/>
      <c r="E17" s="76"/>
      <c r="F17" s="79"/>
      <c r="G17" s="14" t="s">
        <v>38</v>
      </c>
      <c r="H17" s="15" t="s">
        <v>39</v>
      </c>
      <c r="I17" s="35"/>
      <c r="J17" s="36"/>
      <c r="K17" s="37"/>
      <c r="L17" s="53"/>
      <c r="M17" s="53"/>
      <c r="N17" s="42"/>
    </row>
    <row r="18" spans="2:14" s="18" customFormat="1" x14ac:dyDescent="0.25">
      <c r="B18" s="72"/>
      <c r="C18" s="74"/>
      <c r="D18" s="74"/>
      <c r="E18" s="77"/>
      <c r="F18" s="80"/>
      <c r="G18" s="14" t="s">
        <v>40</v>
      </c>
      <c r="H18" s="15"/>
      <c r="I18" s="35"/>
      <c r="J18" s="36"/>
      <c r="K18" s="37"/>
      <c r="L18" s="53"/>
      <c r="M18" s="53"/>
      <c r="N18" s="42"/>
    </row>
    <row r="19" spans="2:14" s="18" customFormat="1" x14ac:dyDescent="0.25">
      <c r="B19" s="12">
        <f>COUNTA($B$10:B18)+1</f>
        <v>4</v>
      </c>
      <c r="C19" s="21" t="s">
        <v>43</v>
      </c>
      <c r="D19" s="15" t="s">
        <v>101</v>
      </c>
      <c r="E19" s="13" t="s">
        <v>22</v>
      </c>
      <c r="F19" s="14" t="s">
        <v>102</v>
      </c>
      <c r="G19" s="14" t="s">
        <v>103</v>
      </c>
      <c r="H19" s="15" t="s">
        <v>104</v>
      </c>
      <c r="I19" s="35" t="s">
        <v>106</v>
      </c>
      <c r="J19" s="36"/>
      <c r="K19" s="37"/>
      <c r="L19" s="22" t="s">
        <v>23</v>
      </c>
      <c r="M19" s="22">
        <v>0.5</v>
      </c>
      <c r="N19" s="33" t="s">
        <v>108</v>
      </c>
    </row>
    <row r="20" spans="2:14" s="18" customFormat="1" x14ac:dyDescent="0.25">
      <c r="B20" s="12">
        <f>COUNTA($B$10:B19)+1</f>
        <v>5</v>
      </c>
      <c r="C20" s="21" t="s">
        <v>43</v>
      </c>
      <c r="D20" s="15" t="s">
        <v>44</v>
      </c>
      <c r="E20" s="13" t="s">
        <v>22</v>
      </c>
      <c r="F20" s="14" t="s">
        <v>45</v>
      </c>
      <c r="G20" s="14" t="s">
        <v>46</v>
      </c>
      <c r="H20" s="15" t="s">
        <v>100</v>
      </c>
      <c r="I20" s="35" t="s">
        <v>107</v>
      </c>
      <c r="J20" s="36"/>
      <c r="K20" s="37"/>
      <c r="L20" s="22" t="s">
        <v>23</v>
      </c>
      <c r="M20" s="22">
        <v>0.5</v>
      </c>
      <c r="N20" s="33" t="s">
        <v>108</v>
      </c>
    </row>
    <row r="21" spans="2:14" s="18" customFormat="1" x14ac:dyDescent="0.25">
      <c r="B21" s="71">
        <f>COUNTA($B$10:B20)+1</f>
        <v>6</v>
      </c>
      <c r="C21" s="73" t="s">
        <v>47</v>
      </c>
      <c r="D21" s="73" t="s">
        <v>48</v>
      </c>
      <c r="E21" s="13" t="s">
        <v>22</v>
      </c>
      <c r="F21" s="14" t="s">
        <v>112</v>
      </c>
      <c r="G21" s="14" t="s">
        <v>117</v>
      </c>
      <c r="H21" s="15" t="s">
        <v>149</v>
      </c>
      <c r="I21" s="16" t="s">
        <v>207</v>
      </c>
      <c r="J21" s="19"/>
      <c r="K21" s="20"/>
      <c r="L21" s="52" t="s">
        <v>23</v>
      </c>
      <c r="M21" s="52">
        <v>5</v>
      </c>
      <c r="N21" s="40"/>
    </row>
    <row r="22" spans="2:14" s="18" customFormat="1" x14ac:dyDescent="0.25">
      <c r="B22" s="72"/>
      <c r="C22" s="81"/>
      <c r="D22" s="81"/>
      <c r="E22" s="13" t="s">
        <v>32</v>
      </c>
      <c r="F22" s="14" t="s">
        <v>113</v>
      </c>
      <c r="G22" s="14" t="s">
        <v>118</v>
      </c>
      <c r="H22" s="15" t="s">
        <v>150</v>
      </c>
      <c r="I22" s="16" t="s">
        <v>208</v>
      </c>
      <c r="J22" s="17"/>
      <c r="K22" s="14"/>
      <c r="L22" s="53"/>
      <c r="M22" s="53"/>
      <c r="N22" s="42"/>
    </row>
    <row r="23" spans="2:14" s="18" customFormat="1" x14ac:dyDescent="0.25">
      <c r="B23" s="72"/>
      <c r="C23" s="81"/>
      <c r="D23" s="81"/>
      <c r="E23" s="13" t="s">
        <v>41</v>
      </c>
      <c r="F23" s="14" t="s">
        <v>114</v>
      </c>
      <c r="G23" s="14" t="s">
        <v>119</v>
      </c>
      <c r="H23" s="15" t="s">
        <v>116</v>
      </c>
      <c r="I23" s="16" t="s">
        <v>207</v>
      </c>
      <c r="J23" s="19"/>
      <c r="K23" s="20"/>
      <c r="L23" s="53"/>
      <c r="M23" s="53"/>
      <c r="N23" s="42"/>
    </row>
    <row r="24" spans="2:14" s="18" customFormat="1" x14ac:dyDescent="0.25">
      <c r="B24" s="72"/>
      <c r="C24" s="81"/>
      <c r="D24" s="81"/>
      <c r="E24" s="13" t="s">
        <v>42</v>
      </c>
      <c r="F24" s="14" t="s">
        <v>115</v>
      </c>
      <c r="G24" s="14" t="s">
        <v>120</v>
      </c>
      <c r="H24" s="15" t="s">
        <v>151</v>
      </c>
      <c r="I24" s="16" t="s">
        <v>208</v>
      </c>
      <c r="J24" s="17"/>
      <c r="K24" s="14"/>
      <c r="L24" s="53"/>
      <c r="M24" s="53"/>
      <c r="N24" s="42"/>
    </row>
    <row r="25" spans="2:14" s="18" customFormat="1" x14ac:dyDescent="0.25">
      <c r="B25" s="72"/>
      <c r="C25" s="81"/>
      <c r="D25" s="81"/>
      <c r="E25" s="13" t="s">
        <v>51</v>
      </c>
      <c r="F25" s="14" t="s">
        <v>49</v>
      </c>
      <c r="G25" s="14" t="s">
        <v>50</v>
      </c>
      <c r="H25" s="15" t="s">
        <v>109</v>
      </c>
      <c r="I25" s="35" t="s">
        <v>208</v>
      </c>
      <c r="J25" s="36"/>
      <c r="K25" s="37"/>
      <c r="L25" s="53"/>
      <c r="M25" s="53"/>
      <c r="N25" s="42"/>
    </row>
    <row r="26" spans="2:14" s="18" customFormat="1" x14ac:dyDescent="0.25">
      <c r="B26" s="71">
        <f>COUNTA($B$10:B25)+1</f>
        <v>7</v>
      </c>
      <c r="C26" s="73" t="s">
        <v>52</v>
      </c>
      <c r="D26" s="73" t="s">
        <v>121</v>
      </c>
      <c r="E26" s="13" t="s">
        <v>22</v>
      </c>
      <c r="F26" s="14" t="s">
        <v>122</v>
      </c>
      <c r="G26" s="14" t="s">
        <v>54</v>
      </c>
      <c r="H26" s="15" t="s">
        <v>55</v>
      </c>
      <c r="I26" s="43" t="s">
        <v>53</v>
      </c>
      <c r="J26" s="44"/>
      <c r="K26" s="45"/>
      <c r="L26" s="52" t="s">
        <v>23</v>
      </c>
      <c r="M26" s="52">
        <v>2</v>
      </c>
      <c r="N26" s="40" t="s">
        <v>125</v>
      </c>
    </row>
    <row r="27" spans="2:14" s="18" customFormat="1" x14ac:dyDescent="0.25">
      <c r="B27" s="72"/>
      <c r="C27" s="81"/>
      <c r="D27" s="81"/>
      <c r="E27" s="13" t="s">
        <v>24</v>
      </c>
      <c r="F27" s="14" t="s">
        <v>123</v>
      </c>
      <c r="G27" s="14" t="s">
        <v>124</v>
      </c>
      <c r="H27" s="15" t="s">
        <v>55</v>
      </c>
      <c r="I27" s="46"/>
      <c r="J27" s="47"/>
      <c r="K27" s="48"/>
      <c r="L27" s="53"/>
      <c r="M27" s="53"/>
      <c r="N27" s="42"/>
    </row>
    <row r="28" spans="2:14" s="18" customFormat="1" x14ac:dyDescent="0.25">
      <c r="B28" s="72"/>
      <c r="C28" s="81"/>
      <c r="D28" s="81"/>
      <c r="E28" s="13" t="s">
        <v>25</v>
      </c>
      <c r="F28" s="14" t="s">
        <v>40</v>
      </c>
      <c r="G28" s="14"/>
      <c r="H28" s="15"/>
      <c r="I28" s="35"/>
      <c r="J28" s="36"/>
      <c r="K28" s="37"/>
      <c r="L28" s="53"/>
      <c r="M28" s="53"/>
      <c r="N28" s="42"/>
    </row>
    <row r="29" spans="2:14" s="18" customFormat="1" x14ac:dyDescent="0.25">
      <c r="B29" s="72"/>
      <c r="C29" s="81"/>
      <c r="D29" s="73" t="s">
        <v>126</v>
      </c>
      <c r="E29" s="13" t="s">
        <v>22</v>
      </c>
      <c r="F29" s="14" t="s">
        <v>127</v>
      </c>
      <c r="G29" s="14" t="s">
        <v>54</v>
      </c>
      <c r="H29" s="15" t="s">
        <v>55</v>
      </c>
      <c r="I29" s="43" t="s">
        <v>53</v>
      </c>
      <c r="J29" s="44"/>
      <c r="K29" s="45"/>
      <c r="L29" s="52" t="s">
        <v>23</v>
      </c>
      <c r="M29" s="52">
        <v>2</v>
      </c>
      <c r="N29" s="42"/>
    </row>
    <row r="30" spans="2:14" s="18" customFormat="1" x14ac:dyDescent="0.25">
      <c r="B30" s="72"/>
      <c r="C30" s="81"/>
      <c r="D30" s="81"/>
      <c r="E30" s="13" t="s">
        <v>24</v>
      </c>
      <c r="F30" s="14" t="s">
        <v>128</v>
      </c>
      <c r="G30" s="14" t="s">
        <v>124</v>
      </c>
      <c r="H30" s="15" t="s">
        <v>55</v>
      </c>
      <c r="I30" s="46"/>
      <c r="J30" s="47"/>
      <c r="K30" s="48"/>
      <c r="L30" s="53"/>
      <c r="M30" s="53"/>
      <c r="N30" s="42"/>
    </row>
    <row r="31" spans="2:14" s="18" customFormat="1" x14ac:dyDescent="0.25">
      <c r="B31" s="72"/>
      <c r="C31" s="81"/>
      <c r="D31" s="81"/>
      <c r="E31" s="13" t="s">
        <v>25</v>
      </c>
      <c r="F31" s="14" t="s">
        <v>40</v>
      </c>
      <c r="G31" s="14"/>
      <c r="H31" s="15"/>
      <c r="I31" s="35"/>
      <c r="J31" s="36"/>
      <c r="K31" s="37"/>
      <c r="L31" s="53"/>
      <c r="M31" s="53"/>
      <c r="N31" s="42"/>
    </row>
    <row r="32" spans="2:14" s="18" customFormat="1" x14ac:dyDescent="0.25">
      <c r="B32" s="72"/>
      <c r="C32" s="81"/>
      <c r="D32" s="15" t="s">
        <v>57</v>
      </c>
      <c r="E32" s="13" t="s">
        <v>22</v>
      </c>
      <c r="F32" s="14" t="s">
        <v>129</v>
      </c>
      <c r="G32" s="14" t="s">
        <v>58</v>
      </c>
      <c r="H32" s="15" t="s">
        <v>59</v>
      </c>
      <c r="I32" s="35"/>
      <c r="J32" s="36"/>
      <c r="K32" s="37"/>
      <c r="L32" s="22" t="s">
        <v>23</v>
      </c>
      <c r="M32" s="22">
        <v>2</v>
      </c>
      <c r="N32" s="41"/>
    </row>
    <row r="33" spans="2:14" s="18" customFormat="1" x14ac:dyDescent="0.25">
      <c r="B33" s="72"/>
      <c r="C33" s="81"/>
      <c r="D33" s="73" t="s">
        <v>60</v>
      </c>
      <c r="E33" s="13" t="s">
        <v>22</v>
      </c>
      <c r="F33" s="14" t="s">
        <v>61</v>
      </c>
      <c r="G33" s="14"/>
      <c r="H33" s="15"/>
      <c r="I33" s="35"/>
      <c r="J33" s="36"/>
      <c r="K33" s="37"/>
      <c r="L33" s="52" t="s">
        <v>56</v>
      </c>
      <c r="M33" s="52">
        <v>3</v>
      </c>
      <c r="N33" s="40"/>
    </row>
    <row r="34" spans="2:14" s="18" customFormat="1" x14ac:dyDescent="0.25">
      <c r="B34" s="72"/>
      <c r="C34" s="81"/>
      <c r="D34" s="81"/>
      <c r="E34" s="13" t="s">
        <v>32</v>
      </c>
      <c r="F34" s="14" t="s">
        <v>130</v>
      </c>
      <c r="G34" s="14" t="s">
        <v>62</v>
      </c>
      <c r="H34" s="15" t="s">
        <v>63</v>
      </c>
      <c r="I34" s="35"/>
      <c r="J34" s="36"/>
      <c r="K34" s="37"/>
      <c r="L34" s="53"/>
      <c r="M34" s="53"/>
      <c r="N34" s="42"/>
    </row>
    <row r="35" spans="2:14" s="18" customFormat="1" x14ac:dyDescent="0.25">
      <c r="B35" s="72"/>
      <c r="C35" s="81"/>
      <c r="D35" s="81"/>
      <c r="E35" s="13" t="s">
        <v>41</v>
      </c>
      <c r="F35" s="14" t="s">
        <v>64</v>
      </c>
      <c r="G35" s="14"/>
      <c r="H35" s="15"/>
      <c r="I35" s="35"/>
      <c r="J35" s="36"/>
      <c r="K35" s="37"/>
      <c r="L35" s="53"/>
      <c r="M35" s="53"/>
      <c r="N35" s="42"/>
    </row>
    <row r="36" spans="2:14" s="18" customFormat="1" x14ac:dyDescent="0.25">
      <c r="B36" s="72"/>
      <c r="C36" s="81"/>
      <c r="D36" s="85"/>
      <c r="E36" s="13" t="s">
        <v>42</v>
      </c>
      <c r="F36" s="14" t="s">
        <v>130</v>
      </c>
      <c r="G36" s="14" t="s">
        <v>62</v>
      </c>
      <c r="H36" s="15" t="s">
        <v>65</v>
      </c>
      <c r="I36" s="35"/>
      <c r="J36" s="36"/>
      <c r="K36" s="37"/>
      <c r="L36" s="87"/>
      <c r="M36" s="87"/>
      <c r="N36" s="41"/>
    </row>
    <row r="37" spans="2:14" s="18" customFormat="1" x14ac:dyDescent="0.25">
      <c r="B37" s="27">
        <f>COUNTA($B$10:B36)+1</f>
        <v>8</v>
      </c>
      <c r="C37" s="28" t="s">
        <v>131</v>
      </c>
      <c r="D37" s="29"/>
      <c r="E37" s="88" t="s">
        <v>132</v>
      </c>
      <c r="F37" s="89"/>
      <c r="G37" s="23" t="s">
        <v>143</v>
      </c>
      <c r="H37" s="29" t="s">
        <v>144</v>
      </c>
      <c r="I37" s="35" t="s">
        <v>145</v>
      </c>
      <c r="J37" s="36"/>
      <c r="K37" s="37"/>
      <c r="L37" s="30" t="s">
        <v>66</v>
      </c>
      <c r="M37" s="30">
        <v>2</v>
      </c>
      <c r="N37" s="34" t="s">
        <v>86</v>
      </c>
    </row>
    <row r="38" spans="2:14" s="18" customFormat="1" x14ac:dyDescent="0.25">
      <c r="B38" s="82">
        <f>COUNTA($B$10:B37)+1</f>
        <v>9</v>
      </c>
      <c r="C38" s="73" t="s">
        <v>146</v>
      </c>
      <c r="D38" s="86" t="s">
        <v>147</v>
      </c>
      <c r="E38" s="13" t="s">
        <v>22</v>
      </c>
      <c r="F38" s="14" t="s">
        <v>133</v>
      </c>
      <c r="G38" s="14" t="s">
        <v>135</v>
      </c>
      <c r="H38" s="15" t="s">
        <v>136</v>
      </c>
      <c r="I38" s="35" t="s">
        <v>177</v>
      </c>
      <c r="J38" s="36"/>
      <c r="K38" s="37"/>
      <c r="L38" s="52" t="s">
        <v>172</v>
      </c>
      <c r="M38" s="52">
        <v>20</v>
      </c>
      <c r="N38" s="33"/>
    </row>
    <row r="39" spans="2:14" s="18" customFormat="1" x14ac:dyDescent="0.25">
      <c r="B39" s="83"/>
      <c r="C39" s="81"/>
      <c r="D39" s="81"/>
      <c r="E39" s="13" t="s">
        <v>32</v>
      </c>
      <c r="F39" s="14" t="s">
        <v>67</v>
      </c>
      <c r="G39" s="14" t="s">
        <v>134</v>
      </c>
      <c r="H39" s="15" t="s">
        <v>166</v>
      </c>
      <c r="I39" s="35" t="s">
        <v>69</v>
      </c>
      <c r="J39" s="36"/>
      <c r="K39" s="37"/>
      <c r="L39" s="53"/>
      <c r="M39" s="53"/>
      <c r="N39" s="33" t="s">
        <v>108</v>
      </c>
    </row>
    <row r="40" spans="2:14" s="18" customFormat="1" x14ac:dyDescent="0.25">
      <c r="B40" s="83"/>
      <c r="C40" s="81"/>
      <c r="D40" s="81"/>
      <c r="E40" s="13" t="s">
        <v>41</v>
      </c>
      <c r="F40" s="14" t="s">
        <v>173</v>
      </c>
      <c r="G40" s="14" t="s">
        <v>135</v>
      </c>
      <c r="H40" s="15" t="s">
        <v>137</v>
      </c>
      <c r="I40" s="35" t="s">
        <v>177</v>
      </c>
      <c r="J40" s="36"/>
      <c r="K40" s="37"/>
      <c r="L40" s="53"/>
      <c r="M40" s="53"/>
      <c r="N40" s="33" t="s">
        <v>157</v>
      </c>
    </row>
    <row r="41" spans="2:14" s="18" customFormat="1" x14ac:dyDescent="0.25">
      <c r="B41" s="83"/>
      <c r="C41" s="81"/>
      <c r="D41" s="81"/>
      <c r="E41" s="13" t="s">
        <v>42</v>
      </c>
      <c r="F41" s="14" t="s">
        <v>67</v>
      </c>
      <c r="G41" s="14" t="s">
        <v>134</v>
      </c>
      <c r="H41" s="15" t="s">
        <v>167</v>
      </c>
      <c r="I41" s="35"/>
      <c r="J41" s="36"/>
      <c r="K41" s="37"/>
      <c r="L41" s="53"/>
      <c r="M41" s="53"/>
      <c r="N41" s="33" t="s">
        <v>108</v>
      </c>
    </row>
    <row r="42" spans="2:14" s="18" customFormat="1" x14ac:dyDescent="0.25">
      <c r="B42" s="83"/>
      <c r="C42" s="81"/>
      <c r="D42" s="81"/>
      <c r="E42" s="13" t="s">
        <v>51</v>
      </c>
      <c r="F42" s="14" t="s">
        <v>138</v>
      </c>
      <c r="G42" s="14" t="s">
        <v>162</v>
      </c>
      <c r="H42" s="15" t="s">
        <v>144</v>
      </c>
      <c r="I42" s="35" t="s">
        <v>145</v>
      </c>
      <c r="J42" s="36"/>
      <c r="K42" s="37"/>
      <c r="L42" s="53"/>
      <c r="M42" s="53"/>
      <c r="N42" s="33" t="s">
        <v>140</v>
      </c>
    </row>
    <row r="43" spans="2:14" s="18" customFormat="1" x14ac:dyDescent="0.25">
      <c r="B43" s="83"/>
      <c r="C43" s="81"/>
      <c r="D43" s="81"/>
      <c r="E43" s="13" t="s">
        <v>73</v>
      </c>
      <c r="F43" s="14" t="s">
        <v>70</v>
      </c>
      <c r="G43" s="14" t="s">
        <v>135</v>
      </c>
      <c r="H43" s="15" t="s">
        <v>139</v>
      </c>
      <c r="I43" s="35" t="s">
        <v>177</v>
      </c>
      <c r="J43" s="36"/>
      <c r="K43" s="37"/>
      <c r="L43" s="53"/>
      <c r="M43" s="53"/>
      <c r="N43" s="33" t="s">
        <v>158</v>
      </c>
    </row>
    <row r="44" spans="2:14" s="18" customFormat="1" x14ac:dyDescent="0.25">
      <c r="B44" s="83"/>
      <c r="C44" s="81"/>
      <c r="D44" s="81"/>
      <c r="E44" s="13" t="s">
        <v>209</v>
      </c>
      <c r="F44" s="14" t="s">
        <v>67</v>
      </c>
      <c r="G44" s="14" t="s">
        <v>134</v>
      </c>
      <c r="H44" s="15" t="s">
        <v>167</v>
      </c>
      <c r="I44" s="35"/>
      <c r="J44" s="36"/>
      <c r="K44" s="37"/>
      <c r="L44" s="53"/>
      <c r="M44" s="53"/>
      <c r="N44" s="33" t="s">
        <v>108</v>
      </c>
    </row>
    <row r="45" spans="2:14" s="18" customFormat="1" x14ac:dyDescent="0.25">
      <c r="B45" s="83"/>
      <c r="C45" s="81"/>
      <c r="D45" s="81"/>
      <c r="E45" s="13" t="s">
        <v>154</v>
      </c>
      <c r="F45" s="14" t="s">
        <v>138</v>
      </c>
      <c r="G45" s="14" t="s">
        <v>162</v>
      </c>
      <c r="H45" s="15" t="s">
        <v>144</v>
      </c>
      <c r="I45" s="35" t="s">
        <v>145</v>
      </c>
      <c r="J45" s="36"/>
      <c r="K45" s="37"/>
      <c r="L45" s="53"/>
      <c r="M45" s="53"/>
      <c r="N45" s="33" t="s">
        <v>141</v>
      </c>
    </row>
    <row r="46" spans="2:14" s="18" customFormat="1" x14ac:dyDescent="0.25">
      <c r="B46" s="84"/>
      <c r="C46" s="85"/>
      <c r="D46" s="85"/>
      <c r="E46" s="31" t="s">
        <v>210</v>
      </c>
      <c r="F46" s="23" t="s">
        <v>71</v>
      </c>
      <c r="G46" s="23" t="s">
        <v>143</v>
      </c>
      <c r="H46" s="29" t="s">
        <v>144</v>
      </c>
      <c r="I46" s="35" t="s">
        <v>145</v>
      </c>
      <c r="J46" s="36"/>
      <c r="K46" s="37"/>
      <c r="L46" s="87"/>
      <c r="M46" s="87"/>
      <c r="N46" s="33" t="s">
        <v>142</v>
      </c>
    </row>
    <row r="47" spans="2:14" s="18" customFormat="1" x14ac:dyDescent="0.25">
      <c r="B47" s="82">
        <f>COUNTA($B$10:B46)+1</f>
        <v>10</v>
      </c>
      <c r="C47" s="73" t="s">
        <v>148</v>
      </c>
      <c r="D47" s="86" t="s">
        <v>152</v>
      </c>
      <c r="E47" s="13" t="s">
        <v>22</v>
      </c>
      <c r="F47" s="14" t="s">
        <v>153</v>
      </c>
      <c r="G47" s="14" t="s">
        <v>143</v>
      </c>
      <c r="H47" s="15" t="s">
        <v>156</v>
      </c>
      <c r="I47" s="35" t="s">
        <v>145</v>
      </c>
      <c r="J47" s="36"/>
      <c r="K47" s="37"/>
      <c r="L47" s="52" t="s">
        <v>66</v>
      </c>
      <c r="M47" s="52">
        <v>100</v>
      </c>
      <c r="N47" s="34" t="s">
        <v>188</v>
      </c>
    </row>
    <row r="48" spans="2:14" s="18" customFormat="1" x14ac:dyDescent="0.25">
      <c r="B48" s="83"/>
      <c r="C48" s="74"/>
      <c r="D48" s="90"/>
      <c r="E48" s="13" t="s">
        <v>32</v>
      </c>
      <c r="F48" s="14" t="s">
        <v>67</v>
      </c>
      <c r="G48" s="14" t="s">
        <v>155</v>
      </c>
      <c r="H48" s="15" t="s">
        <v>165</v>
      </c>
      <c r="I48" s="35" t="s">
        <v>170</v>
      </c>
      <c r="J48" s="38"/>
      <c r="K48" s="39"/>
      <c r="L48" s="53"/>
      <c r="M48" s="53"/>
      <c r="N48" s="33" t="s">
        <v>108</v>
      </c>
    </row>
    <row r="49" spans="2:14" s="18" customFormat="1" x14ac:dyDescent="0.25">
      <c r="B49" s="83"/>
      <c r="C49" s="81"/>
      <c r="D49" s="74"/>
      <c r="E49" s="13" t="s">
        <v>41</v>
      </c>
      <c r="F49" s="14" t="s">
        <v>161</v>
      </c>
      <c r="G49" s="14" t="s">
        <v>163</v>
      </c>
      <c r="H49" s="15" t="s">
        <v>144</v>
      </c>
      <c r="I49" s="35" t="s">
        <v>145</v>
      </c>
      <c r="J49" s="36"/>
      <c r="K49" s="37"/>
      <c r="L49" s="53"/>
      <c r="M49" s="53"/>
      <c r="N49" s="33" t="s">
        <v>159</v>
      </c>
    </row>
    <row r="50" spans="2:14" s="18" customFormat="1" x14ac:dyDescent="0.25">
      <c r="B50" s="83"/>
      <c r="C50" s="81"/>
      <c r="D50" s="74"/>
      <c r="E50" s="13" t="s">
        <v>42</v>
      </c>
      <c r="F50" s="14" t="s">
        <v>164</v>
      </c>
      <c r="G50" s="14" t="s">
        <v>143</v>
      </c>
      <c r="H50" s="15" t="s">
        <v>175</v>
      </c>
      <c r="I50" s="35" t="s">
        <v>145</v>
      </c>
      <c r="J50" s="36"/>
      <c r="K50" s="37"/>
      <c r="L50" s="53"/>
      <c r="M50" s="53"/>
      <c r="N50" s="33"/>
    </row>
    <row r="51" spans="2:14" s="18" customFormat="1" x14ac:dyDescent="0.25">
      <c r="B51" s="83"/>
      <c r="C51" s="81"/>
      <c r="D51" s="74"/>
      <c r="E51" s="13" t="s">
        <v>51</v>
      </c>
      <c r="F51" s="14" t="s">
        <v>67</v>
      </c>
      <c r="G51" s="14" t="s">
        <v>155</v>
      </c>
      <c r="H51" s="15" t="s">
        <v>168</v>
      </c>
      <c r="I51" s="35" t="s">
        <v>169</v>
      </c>
      <c r="J51" s="38"/>
      <c r="K51" s="39"/>
      <c r="L51" s="53"/>
      <c r="M51" s="53"/>
      <c r="N51" s="33" t="s">
        <v>108</v>
      </c>
    </row>
    <row r="52" spans="2:14" s="18" customFormat="1" x14ac:dyDescent="0.25">
      <c r="B52" s="83"/>
      <c r="C52" s="81"/>
      <c r="D52" s="74"/>
      <c r="E52" s="13" t="s">
        <v>73</v>
      </c>
      <c r="F52" s="14" t="s">
        <v>161</v>
      </c>
      <c r="G52" s="14" t="s">
        <v>163</v>
      </c>
      <c r="H52" s="15" t="s">
        <v>144</v>
      </c>
      <c r="I52" s="35" t="s">
        <v>145</v>
      </c>
      <c r="J52" s="36"/>
      <c r="K52" s="37"/>
      <c r="L52" s="53"/>
      <c r="M52" s="53"/>
      <c r="N52" s="33" t="s">
        <v>160</v>
      </c>
    </row>
    <row r="53" spans="2:14" s="18" customFormat="1" x14ac:dyDescent="0.25">
      <c r="B53" s="83"/>
      <c r="C53" s="81"/>
      <c r="D53" s="91"/>
      <c r="E53" s="13" t="s">
        <v>209</v>
      </c>
      <c r="F53" s="23" t="s">
        <v>74</v>
      </c>
      <c r="G53" s="23" t="s">
        <v>143</v>
      </c>
      <c r="H53" s="29" t="s">
        <v>144</v>
      </c>
      <c r="I53" s="35" t="s">
        <v>145</v>
      </c>
      <c r="J53" s="36"/>
      <c r="K53" s="37"/>
      <c r="L53" s="87"/>
      <c r="M53" s="87"/>
      <c r="N53" s="33" t="s">
        <v>171</v>
      </c>
    </row>
    <row r="54" spans="2:14" s="18" customFormat="1" x14ac:dyDescent="0.25">
      <c r="B54" s="82">
        <f>COUNTA($B$10:B53)+1</f>
        <v>11</v>
      </c>
      <c r="C54" s="73" t="s">
        <v>75</v>
      </c>
      <c r="D54" s="73" t="s">
        <v>75</v>
      </c>
      <c r="E54" s="13" t="s">
        <v>22</v>
      </c>
      <c r="F54" s="14" t="s">
        <v>76</v>
      </c>
      <c r="G54" s="14" t="s">
        <v>135</v>
      </c>
      <c r="H54" s="15" t="s">
        <v>174</v>
      </c>
      <c r="I54" s="35" t="s">
        <v>177</v>
      </c>
      <c r="J54" s="36"/>
      <c r="K54" s="37"/>
      <c r="L54" s="52" t="s">
        <v>66</v>
      </c>
      <c r="M54" s="52">
        <v>32</v>
      </c>
      <c r="N54" s="40"/>
    </row>
    <row r="55" spans="2:14" s="18" customFormat="1" x14ac:dyDescent="0.25">
      <c r="B55" s="83"/>
      <c r="C55" s="81"/>
      <c r="D55" s="81"/>
      <c r="E55" s="13" t="s">
        <v>32</v>
      </c>
      <c r="F55" s="14" t="s">
        <v>176</v>
      </c>
      <c r="G55" s="14" t="s">
        <v>143</v>
      </c>
      <c r="H55" s="15" t="s">
        <v>175</v>
      </c>
      <c r="I55" s="35" t="s">
        <v>145</v>
      </c>
      <c r="J55" s="36"/>
      <c r="K55" s="37"/>
      <c r="L55" s="53"/>
      <c r="M55" s="53"/>
      <c r="N55" s="42"/>
    </row>
    <row r="56" spans="2:14" s="18" customFormat="1" x14ac:dyDescent="0.25">
      <c r="B56" s="83"/>
      <c r="C56" s="81"/>
      <c r="D56" s="81"/>
      <c r="E56" s="13" t="s">
        <v>41</v>
      </c>
      <c r="F56" s="14" t="s">
        <v>68</v>
      </c>
      <c r="G56" s="14" t="s">
        <v>77</v>
      </c>
      <c r="H56" s="15" t="s">
        <v>178</v>
      </c>
      <c r="I56" s="35"/>
      <c r="J56" s="36"/>
      <c r="K56" s="37"/>
      <c r="L56" s="53"/>
      <c r="M56" s="53"/>
      <c r="N56" s="42"/>
    </row>
    <row r="57" spans="2:14" s="18" customFormat="1" x14ac:dyDescent="0.25">
      <c r="B57" s="83"/>
      <c r="C57" s="81"/>
      <c r="D57" s="81"/>
      <c r="E57" s="13" t="s">
        <v>42</v>
      </c>
      <c r="F57" s="14" t="s">
        <v>72</v>
      </c>
      <c r="G57" s="14" t="s">
        <v>78</v>
      </c>
      <c r="H57" s="15" t="s">
        <v>79</v>
      </c>
      <c r="I57" s="35"/>
      <c r="J57" s="36"/>
      <c r="K57" s="37"/>
      <c r="L57" s="53"/>
      <c r="M57" s="53"/>
      <c r="N57" s="42"/>
    </row>
    <row r="58" spans="2:14" s="18" customFormat="1" x14ac:dyDescent="0.25">
      <c r="B58" s="83"/>
      <c r="C58" s="81"/>
      <c r="D58" s="81"/>
      <c r="E58" s="13" t="s">
        <v>51</v>
      </c>
      <c r="F58" s="14" t="s">
        <v>80</v>
      </c>
      <c r="G58" s="14" t="s">
        <v>81</v>
      </c>
      <c r="H58" s="15" t="s">
        <v>82</v>
      </c>
      <c r="I58" s="35"/>
      <c r="J58" s="36"/>
      <c r="K58" s="37"/>
      <c r="L58" s="53"/>
      <c r="M58" s="53"/>
      <c r="N58" s="42"/>
    </row>
    <row r="59" spans="2:14" s="18" customFormat="1" x14ac:dyDescent="0.25">
      <c r="B59" s="84"/>
      <c r="C59" s="85"/>
      <c r="D59" s="85"/>
      <c r="E59" s="13" t="s">
        <v>73</v>
      </c>
      <c r="F59" s="23" t="s">
        <v>181</v>
      </c>
      <c r="G59" s="23" t="s">
        <v>143</v>
      </c>
      <c r="H59" s="29" t="s">
        <v>144</v>
      </c>
      <c r="I59" s="35" t="s">
        <v>145</v>
      </c>
      <c r="J59" s="36"/>
      <c r="K59" s="37"/>
      <c r="L59" s="87"/>
      <c r="M59" s="87"/>
      <c r="N59" s="41"/>
    </row>
    <row r="60" spans="2:14" s="18" customFormat="1" x14ac:dyDescent="0.25">
      <c r="B60" s="92">
        <f>COUNTA($B$10:B59)+1</f>
        <v>12</v>
      </c>
      <c r="C60" s="73" t="s">
        <v>179</v>
      </c>
      <c r="D60" s="73" t="s">
        <v>180</v>
      </c>
      <c r="E60" s="13" t="s">
        <v>22</v>
      </c>
      <c r="F60" s="14" t="s">
        <v>196</v>
      </c>
      <c r="G60" s="14"/>
      <c r="H60" s="15" t="s">
        <v>189</v>
      </c>
      <c r="I60" s="35"/>
      <c r="J60" s="36"/>
      <c r="K60" s="37"/>
      <c r="L60" s="52" t="s">
        <v>172</v>
      </c>
      <c r="M60" s="52">
        <v>120</v>
      </c>
      <c r="N60" s="40"/>
    </row>
    <row r="61" spans="2:14" s="18" customFormat="1" x14ac:dyDescent="0.25">
      <c r="B61" s="93"/>
      <c r="C61" s="81"/>
      <c r="D61" s="81"/>
      <c r="E61" s="13" t="s">
        <v>32</v>
      </c>
      <c r="F61" s="14" t="s">
        <v>190</v>
      </c>
      <c r="G61" s="14"/>
      <c r="H61" s="15" t="s">
        <v>191</v>
      </c>
      <c r="I61" s="35"/>
      <c r="J61" s="36"/>
      <c r="K61" s="37"/>
      <c r="L61" s="53"/>
      <c r="M61" s="53"/>
      <c r="N61" s="42"/>
    </row>
    <row r="62" spans="2:14" s="18" customFormat="1" x14ac:dyDescent="0.25">
      <c r="B62" s="93"/>
      <c r="C62" s="81"/>
      <c r="D62" s="81"/>
      <c r="E62" s="13" t="s">
        <v>41</v>
      </c>
      <c r="F62" s="14" t="s">
        <v>192</v>
      </c>
      <c r="G62" s="14" t="s">
        <v>193</v>
      </c>
      <c r="H62" s="15" t="s">
        <v>195</v>
      </c>
      <c r="I62" s="35" t="s">
        <v>200</v>
      </c>
      <c r="J62" s="36"/>
      <c r="K62" s="37"/>
      <c r="L62" s="53"/>
      <c r="M62" s="53"/>
      <c r="N62" s="42"/>
    </row>
    <row r="63" spans="2:14" s="18" customFormat="1" x14ac:dyDescent="0.25">
      <c r="B63" s="93"/>
      <c r="C63" s="81"/>
      <c r="D63" s="81"/>
      <c r="E63" s="13" t="s">
        <v>42</v>
      </c>
      <c r="F63" s="14" t="s">
        <v>197</v>
      </c>
      <c r="G63" s="14"/>
      <c r="H63" s="15" t="s">
        <v>198</v>
      </c>
      <c r="I63" s="35"/>
      <c r="J63" s="36"/>
      <c r="K63" s="37"/>
      <c r="L63" s="53"/>
      <c r="M63" s="53"/>
      <c r="N63" s="42"/>
    </row>
    <row r="64" spans="2:14" s="18" customFormat="1" x14ac:dyDescent="0.25">
      <c r="B64" s="93"/>
      <c r="C64" s="81"/>
      <c r="D64" s="81"/>
      <c r="E64" s="13" t="s">
        <v>51</v>
      </c>
      <c r="F64" s="14" t="s">
        <v>190</v>
      </c>
      <c r="G64" s="14"/>
      <c r="H64" s="15" t="s">
        <v>199</v>
      </c>
      <c r="I64" s="35"/>
      <c r="J64" s="36"/>
      <c r="K64" s="37"/>
      <c r="L64" s="53"/>
      <c r="M64" s="53"/>
      <c r="N64" s="42"/>
    </row>
    <row r="65" spans="2:14" s="18" customFormat="1" x14ac:dyDescent="0.25">
      <c r="B65" s="93"/>
      <c r="C65" s="81"/>
      <c r="D65" s="81"/>
      <c r="E65" s="13" t="s">
        <v>73</v>
      </c>
      <c r="F65" s="14" t="s">
        <v>192</v>
      </c>
      <c r="G65" s="14" t="s">
        <v>193</v>
      </c>
      <c r="H65" s="15" t="s">
        <v>194</v>
      </c>
      <c r="I65" s="35" t="s">
        <v>200</v>
      </c>
      <c r="J65" s="36"/>
      <c r="K65" s="37"/>
      <c r="L65" s="53"/>
      <c r="M65" s="53"/>
      <c r="N65" s="42"/>
    </row>
    <row r="66" spans="2:14" s="18" customFormat="1" x14ac:dyDescent="0.25">
      <c r="B66" s="92">
        <f>COUNTA($B$10:B65)+1</f>
        <v>13</v>
      </c>
      <c r="C66" s="73" t="s">
        <v>182</v>
      </c>
      <c r="D66" s="73" t="s">
        <v>183</v>
      </c>
      <c r="E66" s="13" t="s">
        <v>22</v>
      </c>
      <c r="F66" s="14" t="s">
        <v>184</v>
      </c>
      <c r="G66" s="14" t="s">
        <v>135</v>
      </c>
      <c r="H66" s="15" t="s">
        <v>212</v>
      </c>
      <c r="I66" s="35" t="s">
        <v>203</v>
      </c>
      <c r="J66" s="36"/>
      <c r="K66" s="37"/>
      <c r="L66" s="52" t="s">
        <v>66</v>
      </c>
      <c r="M66" s="52">
        <v>30</v>
      </c>
      <c r="N66" s="40"/>
    </row>
    <row r="67" spans="2:14" s="18" customFormat="1" x14ac:dyDescent="0.25">
      <c r="B67" s="93"/>
      <c r="C67" s="74"/>
      <c r="D67" s="74"/>
      <c r="E67" s="13" t="s">
        <v>32</v>
      </c>
      <c r="F67" s="14" t="s">
        <v>211</v>
      </c>
      <c r="G67" s="14" t="s">
        <v>204</v>
      </c>
      <c r="H67" s="15" t="s">
        <v>26</v>
      </c>
      <c r="I67" s="35" t="s">
        <v>207</v>
      </c>
      <c r="J67" s="38"/>
      <c r="K67" s="39"/>
      <c r="L67" s="53"/>
      <c r="M67" s="53"/>
      <c r="N67" s="42"/>
    </row>
    <row r="68" spans="2:14" s="18" customFormat="1" x14ac:dyDescent="0.25">
      <c r="B68" s="93"/>
      <c r="C68" s="74"/>
      <c r="D68" s="74"/>
      <c r="E68" s="13" t="s">
        <v>41</v>
      </c>
      <c r="F68" s="14" t="s">
        <v>185</v>
      </c>
      <c r="G68" s="14" t="s">
        <v>135</v>
      </c>
      <c r="H68" s="15" t="s">
        <v>213</v>
      </c>
      <c r="I68" s="35" t="s">
        <v>203</v>
      </c>
      <c r="J68" s="36"/>
      <c r="K68" s="37"/>
      <c r="L68" s="53"/>
      <c r="M68" s="53"/>
      <c r="N68" s="42"/>
    </row>
    <row r="69" spans="2:14" s="18" customFormat="1" x14ac:dyDescent="0.25">
      <c r="B69" s="93"/>
      <c r="C69" s="81"/>
      <c r="D69" s="81"/>
      <c r="E69" s="13" t="s">
        <v>42</v>
      </c>
      <c r="F69" s="14" t="s">
        <v>211</v>
      </c>
      <c r="G69" s="14" t="s">
        <v>205</v>
      </c>
      <c r="H69" s="15" t="s">
        <v>26</v>
      </c>
      <c r="I69" s="35" t="s">
        <v>208</v>
      </c>
      <c r="J69" s="38"/>
      <c r="K69" s="39"/>
      <c r="L69" s="53"/>
      <c r="M69" s="53"/>
      <c r="N69" s="42"/>
    </row>
    <row r="70" spans="2:14" s="18" customFormat="1" x14ac:dyDescent="0.25">
      <c r="B70" s="93"/>
      <c r="C70" s="81"/>
      <c r="D70" s="81"/>
      <c r="E70" s="13" t="s">
        <v>51</v>
      </c>
      <c r="F70" s="14" t="s">
        <v>186</v>
      </c>
      <c r="G70" s="14" t="s">
        <v>135</v>
      </c>
      <c r="H70" s="15" t="s">
        <v>202</v>
      </c>
      <c r="I70" s="16" t="s">
        <v>203</v>
      </c>
      <c r="J70" s="19"/>
      <c r="K70" s="20"/>
      <c r="L70" s="53"/>
      <c r="M70" s="53"/>
      <c r="N70" s="42"/>
    </row>
    <row r="71" spans="2:14" s="18" customFormat="1" x14ac:dyDescent="0.25">
      <c r="B71" s="93"/>
      <c r="C71" s="81"/>
      <c r="D71" s="81"/>
      <c r="E71" s="13" t="s">
        <v>73</v>
      </c>
      <c r="F71" s="14" t="s">
        <v>201</v>
      </c>
      <c r="G71" s="14" t="s">
        <v>204</v>
      </c>
      <c r="H71" s="15" t="s">
        <v>26</v>
      </c>
      <c r="I71" s="35" t="s">
        <v>207</v>
      </c>
      <c r="J71" s="38"/>
      <c r="K71" s="39"/>
      <c r="L71" s="53"/>
      <c r="M71" s="53"/>
      <c r="N71" s="42"/>
    </row>
    <row r="72" spans="2:14" s="18" customFormat="1" x14ac:dyDescent="0.25">
      <c r="B72" s="93"/>
      <c r="C72" s="81"/>
      <c r="D72" s="81"/>
      <c r="E72" s="13" t="s">
        <v>209</v>
      </c>
      <c r="F72" s="14" t="s">
        <v>187</v>
      </c>
      <c r="G72" s="14" t="s">
        <v>135</v>
      </c>
      <c r="H72" s="15" t="s">
        <v>206</v>
      </c>
      <c r="I72" s="35" t="s">
        <v>203</v>
      </c>
      <c r="J72" s="36"/>
      <c r="K72" s="37"/>
      <c r="L72" s="53"/>
      <c r="M72" s="53"/>
      <c r="N72" s="42"/>
    </row>
    <row r="73" spans="2:14" s="18" customFormat="1" x14ac:dyDescent="0.25">
      <c r="B73" s="93"/>
      <c r="C73" s="81"/>
      <c r="D73" s="81"/>
      <c r="E73" s="13" t="s">
        <v>154</v>
      </c>
      <c r="F73" s="14" t="s">
        <v>201</v>
      </c>
      <c r="G73" s="14" t="s">
        <v>205</v>
      </c>
      <c r="H73" s="15" t="s">
        <v>26</v>
      </c>
      <c r="I73" s="35" t="s">
        <v>208</v>
      </c>
      <c r="J73" s="38"/>
      <c r="K73" s="39"/>
      <c r="L73" s="53"/>
      <c r="M73" s="53"/>
      <c r="N73" s="42"/>
    </row>
    <row r="74" spans="2:14" s="18" customFormat="1" x14ac:dyDescent="0.25">
      <c r="B74" s="92">
        <f>COUNTA($B$10:B73)+1</f>
        <v>14</v>
      </c>
      <c r="C74" s="73" t="s">
        <v>83</v>
      </c>
      <c r="D74" s="95" t="s">
        <v>84</v>
      </c>
      <c r="E74" s="13" t="s">
        <v>22</v>
      </c>
      <c r="F74" s="24" t="s">
        <v>85</v>
      </c>
      <c r="G74" s="14" t="s">
        <v>217</v>
      </c>
      <c r="H74" s="15" t="s">
        <v>218</v>
      </c>
      <c r="I74" s="35" t="s">
        <v>219</v>
      </c>
      <c r="J74" s="36"/>
      <c r="K74" s="37"/>
      <c r="L74" s="52" t="s">
        <v>66</v>
      </c>
      <c r="M74" s="52">
        <v>10</v>
      </c>
      <c r="N74" s="33" t="s">
        <v>216</v>
      </c>
    </row>
    <row r="75" spans="2:14" s="18" customFormat="1" x14ac:dyDescent="0.25">
      <c r="B75" s="93"/>
      <c r="C75" s="74"/>
      <c r="D75" s="96"/>
      <c r="E75" s="13" t="s">
        <v>32</v>
      </c>
      <c r="F75" s="14" t="s">
        <v>214</v>
      </c>
      <c r="G75" s="14" t="s">
        <v>215</v>
      </c>
      <c r="H75" s="15" t="s">
        <v>218</v>
      </c>
      <c r="I75" s="35" t="s">
        <v>219</v>
      </c>
      <c r="J75" s="36"/>
      <c r="K75" s="37"/>
      <c r="L75" s="53"/>
      <c r="M75" s="53"/>
      <c r="N75" s="33" t="s">
        <v>223</v>
      </c>
    </row>
    <row r="76" spans="2:14" s="18" customFormat="1" x14ac:dyDescent="0.25">
      <c r="B76" s="94"/>
      <c r="C76" s="91"/>
      <c r="D76" s="97"/>
      <c r="E76" s="13" t="s">
        <v>41</v>
      </c>
      <c r="F76" s="14" t="s">
        <v>220</v>
      </c>
      <c r="G76" s="14" t="s">
        <v>221</v>
      </c>
      <c r="H76" s="15"/>
      <c r="I76" s="35" t="s">
        <v>222</v>
      </c>
      <c r="J76" s="36"/>
      <c r="K76" s="37"/>
      <c r="L76" s="87"/>
      <c r="M76" s="87"/>
      <c r="N76" s="33" t="s">
        <v>224</v>
      </c>
    </row>
  </sheetData>
  <mergeCells count="138">
    <mergeCell ref="B74:B76"/>
    <mergeCell ref="C74:C76"/>
    <mergeCell ref="D74:D76"/>
    <mergeCell ref="L74:L76"/>
    <mergeCell ref="M74:M76"/>
    <mergeCell ref="I74:K74"/>
    <mergeCell ref="I75:K75"/>
    <mergeCell ref="I76:K76"/>
    <mergeCell ref="B66:B73"/>
    <mergeCell ref="C66:C73"/>
    <mergeCell ref="D66:D73"/>
    <mergeCell ref="L66:L73"/>
    <mergeCell ref="M66:M73"/>
    <mergeCell ref="B60:B65"/>
    <mergeCell ref="C60:C65"/>
    <mergeCell ref="D60:D65"/>
    <mergeCell ref="L60:L65"/>
    <mergeCell ref="M60:M65"/>
    <mergeCell ref="I60:K60"/>
    <mergeCell ref="I61:K61"/>
    <mergeCell ref="I62:K62"/>
    <mergeCell ref="B54:B59"/>
    <mergeCell ref="C54:C59"/>
    <mergeCell ref="D54:D59"/>
    <mergeCell ref="L54:L59"/>
    <mergeCell ref="M54:M59"/>
    <mergeCell ref="B47:B53"/>
    <mergeCell ref="C47:C53"/>
    <mergeCell ref="D47:D53"/>
    <mergeCell ref="L47:L53"/>
    <mergeCell ref="M47:M53"/>
    <mergeCell ref="I52:K52"/>
    <mergeCell ref="I51:K51"/>
    <mergeCell ref="B38:B46"/>
    <mergeCell ref="C38:C46"/>
    <mergeCell ref="D38:D46"/>
    <mergeCell ref="I38:K38"/>
    <mergeCell ref="L38:L46"/>
    <mergeCell ref="D33:D36"/>
    <mergeCell ref="L33:L36"/>
    <mergeCell ref="M33:M36"/>
    <mergeCell ref="B26:B36"/>
    <mergeCell ref="C26:C36"/>
    <mergeCell ref="D26:D28"/>
    <mergeCell ref="L26:L28"/>
    <mergeCell ref="M26:M28"/>
    <mergeCell ref="I34:K34"/>
    <mergeCell ref="I35:K35"/>
    <mergeCell ref="I36:K36"/>
    <mergeCell ref="I37:K37"/>
    <mergeCell ref="M38:M46"/>
    <mergeCell ref="I39:K39"/>
    <mergeCell ref="I40:K40"/>
    <mergeCell ref="I41:K41"/>
    <mergeCell ref="E37:F37"/>
    <mergeCell ref="I42:K42"/>
    <mergeCell ref="B21:B25"/>
    <mergeCell ref="C21:C25"/>
    <mergeCell ref="D21:D25"/>
    <mergeCell ref="L21:L25"/>
    <mergeCell ref="M21:M25"/>
    <mergeCell ref="I20:K20"/>
    <mergeCell ref="I25:K25"/>
    <mergeCell ref="D29:D31"/>
    <mergeCell ref="L29:L31"/>
    <mergeCell ref="M29:M31"/>
    <mergeCell ref="I28:K28"/>
    <mergeCell ref="I31:K31"/>
    <mergeCell ref="B14:B18"/>
    <mergeCell ref="C14:C18"/>
    <mergeCell ref="D14:D18"/>
    <mergeCell ref="I14:K14"/>
    <mergeCell ref="L14:L18"/>
    <mergeCell ref="B12:B13"/>
    <mergeCell ref="C12:C13"/>
    <mergeCell ref="D12:D13"/>
    <mergeCell ref="M14:M18"/>
    <mergeCell ref="E15:E18"/>
    <mergeCell ref="F15:F18"/>
    <mergeCell ref="I15:K15"/>
    <mergeCell ref="I16:K16"/>
    <mergeCell ref="I17:K17"/>
    <mergeCell ref="I18:K18"/>
    <mergeCell ref="B2:G7"/>
    <mergeCell ref="H3:I3"/>
    <mergeCell ref="J3:K3"/>
    <mergeCell ref="L3:M3"/>
    <mergeCell ref="B8:B10"/>
    <mergeCell ref="C9:C10"/>
    <mergeCell ref="D9:D10"/>
    <mergeCell ref="E9:H9"/>
    <mergeCell ref="I9:M9"/>
    <mergeCell ref="E10:F10"/>
    <mergeCell ref="I10:K10"/>
    <mergeCell ref="H2:M2"/>
    <mergeCell ref="I12:K12"/>
    <mergeCell ref="L12:L13"/>
    <mergeCell ref="M12:M13"/>
    <mergeCell ref="I13:K13"/>
    <mergeCell ref="N54:N59"/>
    <mergeCell ref="N60:N65"/>
    <mergeCell ref="N33:N36"/>
    <mergeCell ref="N14:N18"/>
    <mergeCell ref="N21:N25"/>
    <mergeCell ref="I11:K11"/>
    <mergeCell ref="I19:K19"/>
    <mergeCell ref="I32:K32"/>
    <mergeCell ref="I33:K33"/>
    <mergeCell ref="I53:K53"/>
    <mergeCell ref="N12:N13"/>
    <mergeCell ref="N26:N32"/>
    <mergeCell ref="I26:K27"/>
    <mergeCell ref="I29:K30"/>
    <mergeCell ref="I43:K43"/>
    <mergeCell ref="I44:K44"/>
    <mergeCell ref="I45:K45"/>
    <mergeCell ref="I46:K46"/>
    <mergeCell ref="N66:N73"/>
    <mergeCell ref="I55:K55"/>
    <mergeCell ref="I56:K56"/>
    <mergeCell ref="I57:K57"/>
    <mergeCell ref="I59:K59"/>
    <mergeCell ref="I58:K58"/>
    <mergeCell ref="I47:K47"/>
    <mergeCell ref="I54:K54"/>
    <mergeCell ref="I49:K49"/>
    <mergeCell ref="I50:K50"/>
    <mergeCell ref="I48:K48"/>
    <mergeCell ref="I63:K63"/>
    <mergeCell ref="I64:K64"/>
    <mergeCell ref="I65:K65"/>
    <mergeCell ref="I66:K66"/>
    <mergeCell ref="I69:K69"/>
    <mergeCell ref="I71:K71"/>
    <mergeCell ref="I72:K72"/>
    <mergeCell ref="I68:K68"/>
    <mergeCell ref="I73:K73"/>
    <mergeCell ref="I67:K67"/>
  </mergeCells>
  <phoneticPr fontId="2" type="noConversion"/>
  <conditionalFormatting sqref="D12 D14 D19:D21 D29 D32:D33 D37:E37 D38">
    <cfRule type="cellIs" dxfId="30" priority="184" operator="equal">
      <formula>"N/A"</formula>
    </cfRule>
    <cfRule type="cellIs" dxfId="29" priority="183" operator="equal">
      <formula>"N/A"</formula>
    </cfRule>
  </conditionalFormatting>
  <conditionalFormatting sqref="D12 D14 D19:E19 D20:D21 D29 D32:D33 D37:D38">
    <cfRule type="cellIs" dxfId="28" priority="182" operator="equal">
      <formula>"预留"</formula>
    </cfRule>
  </conditionalFormatting>
  <conditionalFormatting sqref="D26 C54:D54">
    <cfRule type="cellIs" dxfId="27" priority="126" operator="equal">
      <formula>"N/A"</formula>
    </cfRule>
    <cfRule type="cellIs" dxfId="26" priority="125" operator="equal">
      <formula>"N/A"</formula>
    </cfRule>
    <cfRule type="cellIs" dxfId="25" priority="124" operator="equal">
      <formula>"预留"</formula>
    </cfRule>
  </conditionalFormatting>
  <conditionalFormatting sqref="D47 D60 D77:E285">
    <cfRule type="cellIs" dxfId="24" priority="194" operator="equal">
      <formula>"N/A"</formula>
    </cfRule>
    <cfRule type="cellIs" dxfId="23" priority="189" operator="equal">
      <formula>"预留"</formula>
    </cfRule>
  </conditionalFormatting>
  <conditionalFormatting sqref="D66">
    <cfRule type="cellIs" dxfId="22" priority="18" operator="equal">
      <formula>"预留"</formula>
    </cfRule>
    <cfRule type="cellIs" dxfId="21" priority="19" operator="equal">
      <formula>"N/A"</formula>
    </cfRule>
    <cfRule type="cellIs" dxfId="20" priority="20" operator="equal">
      <formula>"N/A"</formula>
    </cfRule>
  </conditionalFormatting>
  <conditionalFormatting sqref="D73">
    <cfRule type="cellIs" dxfId="19" priority="2" operator="equal">
      <formula>"N/A"</formula>
    </cfRule>
    <cfRule type="cellIs" dxfId="18" priority="3" operator="equal">
      <formula>"N/A"</formula>
    </cfRule>
  </conditionalFormatting>
  <conditionalFormatting sqref="D73:D74">
    <cfRule type="cellIs" dxfId="17" priority="1" operator="equal">
      <formula>"预留"</formula>
    </cfRule>
  </conditionalFormatting>
  <conditionalFormatting sqref="D11:E11">
    <cfRule type="cellIs" dxfId="16" priority="84" operator="equal">
      <formula>"预留"</formula>
    </cfRule>
    <cfRule type="cellIs" dxfId="15" priority="87" operator="equal">
      <formula>"N/A"</formula>
    </cfRule>
  </conditionalFormatting>
  <conditionalFormatting sqref="D74:E74">
    <cfRule type="cellIs" dxfId="14" priority="98" operator="equal">
      <formula>"N/A"</formula>
    </cfRule>
  </conditionalFormatting>
  <conditionalFormatting sqref="D11:F11">
    <cfRule type="cellIs" dxfId="13" priority="85" operator="equal">
      <formula>"N/A"</formula>
    </cfRule>
  </conditionalFormatting>
  <conditionalFormatting sqref="D74:G74">
    <cfRule type="cellIs" dxfId="12" priority="94" operator="equal">
      <formula>"N/A"</formula>
    </cfRule>
  </conditionalFormatting>
  <conditionalFormatting sqref="E12:E15 E19:E36">
    <cfRule type="cellIs" dxfId="11" priority="188" operator="equal">
      <formula>"N/A"</formula>
    </cfRule>
  </conditionalFormatting>
  <conditionalFormatting sqref="E12:E15">
    <cfRule type="cellIs" dxfId="10" priority="47" operator="equal">
      <formula>"预留"</formula>
    </cfRule>
  </conditionalFormatting>
  <conditionalFormatting sqref="E20:E76">
    <cfRule type="cellIs" dxfId="9" priority="4" operator="equal">
      <formula>"预留"</formula>
    </cfRule>
  </conditionalFormatting>
  <conditionalFormatting sqref="E38:E73">
    <cfRule type="cellIs" dxfId="8" priority="5" operator="equal">
      <formula>"N/A"</formula>
    </cfRule>
  </conditionalFormatting>
  <conditionalFormatting sqref="E75:E76">
    <cfRule type="cellIs" dxfId="7" priority="54" operator="equal">
      <formula>"N/A"</formula>
    </cfRule>
  </conditionalFormatting>
  <conditionalFormatting sqref="E12:G15">
    <cfRule type="cellIs" dxfId="6" priority="48" operator="equal">
      <formula>"N/A"</formula>
    </cfRule>
  </conditionalFormatting>
  <conditionalFormatting sqref="E19:G19">
    <cfRule type="cellIs" dxfId="5" priority="45" operator="equal">
      <formula>"N/A"</formula>
    </cfRule>
  </conditionalFormatting>
  <conditionalFormatting sqref="E20:G36 E38:G46 E47:E72 E73:G73 D47 D60">
    <cfRule type="cellIs" dxfId="4" priority="192" operator="equal">
      <formula>"N/A"</formula>
    </cfRule>
  </conditionalFormatting>
  <conditionalFormatting sqref="E75:G76">
    <cfRule type="cellIs" dxfId="3" priority="50" operator="equal">
      <formula>"N/A"</formula>
    </cfRule>
  </conditionalFormatting>
  <conditionalFormatting sqref="F47:G73">
    <cfRule type="cellIs" dxfId="2" priority="16" operator="equal">
      <formula>"N/A"</formula>
    </cfRule>
  </conditionalFormatting>
  <conditionalFormatting sqref="G16:G18">
    <cfRule type="cellIs" dxfId="1" priority="187" operator="equal">
      <formula>"N/A"</formula>
    </cfRule>
  </conditionalFormatting>
  <conditionalFormatting sqref="G37">
    <cfRule type="cellIs" dxfId="0" priority="31" operator="equal">
      <formula>"N/A"</formula>
    </cfRule>
  </conditionalFormatting>
  <dataValidations disablePrompts="1" count="1">
    <dataValidation type="list" allowBlank="1" showInputMessage="1" showErrorMessage="1" sqref="L29 L32:L33 L37:L38 L54 L60 L19:L21 L14 L11:L12 L26 L47 L66 L73:L74" xr:uid="{00000000-0002-0000-0000-000000000000}">
      <formula1>"高压必测,低压必测,高压选测,低压选测"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PTC通用检测项目_20251222</vt:lpstr>
    </vt:vector>
  </TitlesOfParts>
  <Company>ZJMH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TomTang</dc:creator>
  <cp:lastModifiedBy>mhkj</cp:lastModifiedBy>
  <dcterms:created xsi:type="dcterms:W3CDTF">2020-07-13T12:13:04Z</dcterms:created>
  <dcterms:modified xsi:type="dcterms:W3CDTF">2025-12-22T06:10:24Z</dcterms:modified>
</cp:coreProperties>
</file>